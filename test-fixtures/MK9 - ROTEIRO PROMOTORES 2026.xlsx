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EIRO LUCAS" sheetId="1" r:id="rId5"/>
    <sheet state="visible" name="CONSULTA LUCAS" sheetId="2" r:id="rId6"/>
    <sheet state="visible" name="ROTEIRO ALEXANDRE" sheetId="3" r:id="rId7"/>
    <sheet state="visible" name="CONSULTA ALEXANDRE" sheetId="4" r:id="rId8"/>
    <sheet state="visible" name="FREQUÊNCIA INDÚSTRIA" sheetId="5" r:id="rId9"/>
    <sheet state="visible" name="PROMOTORES" sheetId="6" r:id="rId10"/>
    <sheet state="visible" name="LOJAS" sheetId="7" r:id="rId11"/>
    <sheet state="visible" name="INDUSTRIA" sheetId="8" r:id="rId12"/>
  </sheets>
  <definedNames>
    <definedName hidden="1" localSheetId="6" name="_xlnm._FilterDatabase">LOJAS!$A$1:$B$412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3">
      <text>
        <t xml:space="preserve">
======</t>
      </text>
    </comment>
  </commentList>
</comments>
</file>

<file path=xl/sharedStrings.xml><?xml version="1.0" encoding="utf-8"?>
<sst xmlns="http://schemas.openxmlformats.org/spreadsheetml/2006/main" count="3497" uniqueCount="599">
  <si>
    <t>INDUSTRIA</t>
  </si>
  <si>
    <t>LOJA</t>
  </si>
  <si>
    <t>UF</t>
  </si>
  <si>
    <t>PROMOTORES</t>
  </si>
  <si>
    <t>SEG</t>
  </si>
  <si>
    <t>TER</t>
  </si>
  <si>
    <t>QUA</t>
  </si>
  <si>
    <t>QUI</t>
  </si>
  <si>
    <t>SEX</t>
  </si>
  <si>
    <t xml:space="preserve">SAB </t>
  </si>
  <si>
    <t>DOM</t>
  </si>
  <si>
    <t>VISITAS/SEM (REALIZADO)</t>
  </si>
  <si>
    <t>FREQ. MENSAL REALIZADA (EST.)</t>
  </si>
  <si>
    <t>KING</t>
  </si>
  <si>
    <t>ASSAÍ - GUNTER HANS</t>
  </si>
  <si>
    <t>MS</t>
  </si>
  <si>
    <t>ANA LETICIA ORTIZ AVALO</t>
  </si>
  <si>
    <t>✓</t>
  </si>
  <si>
    <t>COMPER - BRILHANTE</t>
  </si>
  <si>
    <t>FORT ATACADISTA - ERNESTO GEISEL (COHAFAMA)</t>
  </si>
  <si>
    <t>FORT ATACADISTA - GUANANDI</t>
  </si>
  <si>
    <t>ATACADÃO - COSTA E SILVA</t>
  </si>
  <si>
    <t>APYCE</t>
  </si>
  <si>
    <t>MAX SUPERMERCADO - SERINGUEIRAS</t>
  </si>
  <si>
    <t>GO</t>
  </si>
  <si>
    <t>BRENNO FELIPE GOMES DA SILVA</t>
  </si>
  <si>
    <t xml:space="preserve">SUPER LEO </t>
  </si>
  <si>
    <t>ATACADÃO - GOIAS NORTE 64 (JARDIM GOIÁS)</t>
  </si>
  <si>
    <t>ALLEZA</t>
  </si>
  <si>
    <t>ASSAÍ - INDEPENDÊNCIA</t>
  </si>
  <si>
    <t>ATACADÃO - AV. INDEPENDÊNCIA</t>
  </si>
  <si>
    <t>ATACADÃO - PERIMETRAL</t>
  </si>
  <si>
    <t>COSTA ATACADÃO - AV. GOIÁS</t>
  </si>
  <si>
    <t>CO LATICÍNIOS</t>
  </si>
  <si>
    <t>STORE - PLAZA D'ORO</t>
  </si>
  <si>
    <t>PAMPLONA</t>
  </si>
  <si>
    <t>SÃO BRAZ</t>
  </si>
  <si>
    <t>REDE MAX - ELI FORTE</t>
  </si>
  <si>
    <t>SUPERMERCADO SÃO JOSÉ</t>
  </si>
  <si>
    <t>REDE MAX-TREMENDAO</t>
  </si>
  <si>
    <t>OXFORD</t>
  </si>
  <si>
    <t>PRO BRAZILIAN - BALNEARIO MEIA PONTE</t>
  </si>
  <si>
    <t>EMBAVI</t>
  </si>
  <si>
    <t>MANTIQUEIRA</t>
  </si>
  <si>
    <t>COSTA ATACADÃO - SENADOR CANEDO</t>
  </si>
  <si>
    <t>FABIO CAMARGO DOS SANTOS</t>
  </si>
  <si>
    <t>CARREFOUR HIPERMERCADO - GOIANIA SUL JARDINS</t>
  </si>
  <si>
    <t>ATACADÃO - GOIANIA FLAMBOYANT 717</t>
  </si>
  <si>
    <t>ATACADÃO - BR 153</t>
  </si>
  <si>
    <t>COSTA ATACADÃO - JARDIM GOIAS (Flamboyant)</t>
  </si>
  <si>
    <t>TATICO CENTRO</t>
  </si>
  <si>
    <t>TATICO CAMPINAS</t>
  </si>
  <si>
    <t>STORE - VILA MORAIS</t>
  </si>
  <si>
    <t>SUPERVI - SENADOR CANEDO</t>
  </si>
  <si>
    <t>SUPERMERCADO PRÁTIKO PEDRO MIRANDA (SENADOR CANEDO)</t>
  </si>
  <si>
    <t>REDE MAX - JARDIM BOA ESPERANÇA</t>
  </si>
  <si>
    <t>RB ALIMENTOS</t>
  </si>
  <si>
    <t>ATACADÃO - ARAGUAÍNA</t>
  </si>
  <si>
    <t>TO</t>
  </si>
  <si>
    <t xml:space="preserve">FERNANDA KELLY ALVES DA SILVA </t>
  </si>
  <si>
    <t>ASSAÍ - ARAGUAÍNA</t>
  </si>
  <si>
    <t>ASSAI GOIANIA BURITIS</t>
  </si>
  <si>
    <t>FRANCISCO JOSE DOS SANTOS LOURENÇO</t>
  </si>
  <si>
    <t>ASSAI GOIANIA T9</t>
  </si>
  <si>
    <t>ATACADAO APARECIDA DE GOIANIA</t>
  </si>
  <si>
    <t>ATACADAO BR153</t>
  </si>
  <si>
    <t>ASSAÍ - GOIÂNIA BURITIS</t>
  </si>
  <si>
    <t>ASSAÍ - GOIÂNIA PORTUGAL</t>
  </si>
  <si>
    <t>FRANCISCO PEREIRA MASCIMO</t>
  </si>
  <si>
    <t>COSTA ATACADÃO - PEDRO LUDOVICO (T-63)</t>
  </si>
  <si>
    <t xml:space="preserve">GABRIEL TERRA ANDRADE PORTELLA </t>
  </si>
  <si>
    <t>CARREFOUR HIPERMERCADO - AVENIDA T9</t>
  </si>
  <si>
    <t>SUPERVI - CIDADE JARDIM</t>
  </si>
  <si>
    <t>TERMOLAR</t>
  </si>
  <si>
    <t>ASSAÍ - GOIÂNIA T9</t>
  </si>
  <si>
    <t xml:space="preserve">JONAS DUARTE DA SILVA </t>
  </si>
  <si>
    <t>COSTA ATACADÃO - CENTRO DE GOIANIA</t>
  </si>
  <si>
    <t>STORE - CAMPINAS</t>
  </si>
  <si>
    <t>STORE - FAMA</t>
  </si>
  <si>
    <t>SUPERVI - BAIRRO ITATIAIA LOJA 01</t>
  </si>
  <si>
    <t>SUPERMERCADO PRÁTIKO - UNIVERSITÁRIO</t>
  </si>
  <si>
    <t>PRO BRAZILIAN - ANANHAGUERA</t>
  </si>
  <si>
    <t>PRO BRAZILIAN - VILA NOVA</t>
  </si>
  <si>
    <t>AUTENTICOCO</t>
  </si>
  <si>
    <t>BRETAS ANHANGUERA</t>
  </si>
  <si>
    <t xml:space="preserve">BRETAS ARMAZÉM </t>
  </si>
  <si>
    <t>BRETAS GOIANIA SHOPPING</t>
  </si>
  <si>
    <t>EMPORIO PRIME - GOIANIA FLAMBOYANT</t>
  </si>
  <si>
    <t xml:space="preserve">KAYQUE DE JESUS OLIVEIRA </t>
  </si>
  <si>
    <t>EMPORIO PRIME 85</t>
  </si>
  <si>
    <t>EMPORIO PRIME ALPHAVILLE</t>
  </si>
  <si>
    <t>ATACADÃO - PALMAS PARQUE CESAMAR</t>
  </si>
  <si>
    <t xml:space="preserve">KEVEN ALBERTO PAULINO DE SOUSA </t>
  </si>
  <si>
    <t>ATACADÃO - PALMAS</t>
  </si>
  <si>
    <t>ATACADÃO - TEOTÔNIO</t>
  </si>
  <si>
    <t>ASSAÍ - PALMAS TEOTÔNIO 01</t>
  </si>
  <si>
    <t>ASSAÍ - PALMAS CESAMAR 02</t>
  </si>
  <si>
    <t>ATACADÃO - PALMAS RODOVIARIA</t>
  </si>
  <si>
    <t>ASSAÍ - CALDAS NOVAS</t>
  </si>
  <si>
    <t xml:space="preserve">LUCAS PEREIRA DE FARIA SILVA   </t>
  </si>
  <si>
    <t>ASSAI ANAPOLIS</t>
  </si>
  <si>
    <t>MARCELO AUGUSTO DE OLIVEIRA PEREIRA GOMES</t>
  </si>
  <si>
    <t>ATACADAO ANAPOLIS</t>
  </si>
  <si>
    <t>RIO VERMELHO PEDRO LUDOVICO</t>
  </si>
  <si>
    <t>RIO VERMELHO JUNDIAI</t>
  </si>
  <si>
    <t>RIO VERMELHO MARACANA</t>
  </si>
  <si>
    <t>VAREJO - ANAPOLIS - RIO VERMELHO ATACADO E VAREJO</t>
  </si>
  <si>
    <t>COSTA ATACADÃO - MANSÕES ROSAS</t>
  </si>
  <si>
    <t xml:space="preserve">MARCIO JERONIMO ALVES </t>
  </si>
  <si>
    <t>COSTA ATACADÃO - MADRI</t>
  </si>
  <si>
    <t>MAX ATACADO - SETOR DAS MANSÕES</t>
  </si>
  <si>
    <t>COSTA ATACADÃO - SETOR TRÊS MARIAS (MADRI)</t>
  </si>
  <si>
    <t>TATICO GARAVELO</t>
  </si>
  <si>
    <t>STORE - SETOR DOS AFONSOS</t>
  </si>
  <si>
    <t>STORE - CIDADE LIVRE</t>
  </si>
  <si>
    <t>STORE - MANSÕES PARAÍSO</t>
  </si>
  <si>
    <t>MAX SUPERMERCADO - APARECIDA DE GOIÂNIA</t>
  </si>
  <si>
    <t>ASSAÍ - RIO VERDE</t>
  </si>
  <si>
    <t>COSTA ATACADÃO - SETOR TRÊS MARIAS (madri)</t>
  </si>
  <si>
    <t>COSTA ATACADÃO - RIO VERDE</t>
  </si>
  <si>
    <t>SUPERVI SUPERMERCADOS JARDIM GOIANO</t>
  </si>
  <si>
    <t xml:space="preserve">RODRIGO MARQUES DE OLIVEIRA </t>
  </si>
  <si>
    <t>SUPERVI SUPERMERCADOS RES DAS FLORES</t>
  </si>
  <si>
    <t>SUPERVI SUPERMERCADOS PRESIDENTE KENNEDY</t>
  </si>
  <si>
    <t>SUPERMERCADO DO POVO</t>
  </si>
  <si>
    <t>SUPERVI IAPC</t>
  </si>
  <si>
    <t>SUPERVI BAIRRO JKLOJA 12</t>
  </si>
  <si>
    <t>SUPERMERCADO ALVORADA</t>
  </si>
  <si>
    <t>COMERCIAL VILA RICA</t>
  </si>
  <si>
    <t>SUPERMERCADO DO POVO AV PERIMETRAL</t>
  </si>
  <si>
    <t>HIPER VIP SUPERMERCADO</t>
  </si>
  <si>
    <t>FERREIRA SUPERMERCADO</t>
  </si>
  <si>
    <t>SUPERVI RESIDENCIAL DO CERRADO DAIA</t>
  </si>
  <si>
    <t>PEROLA CALIXTOPOLIS</t>
  </si>
  <si>
    <t>COSTA ATACADÃO - PARQUE DAS LARANJEIRAS</t>
  </si>
  <si>
    <t>ROGERIO PEREIRA BARBOSA</t>
  </si>
  <si>
    <t>ASSAÍ - GOIÂNIA PERIMETRAL</t>
  </si>
  <si>
    <t>ATACADÃO - CHAPADA</t>
  </si>
  <si>
    <t>ROSILENE DA SILVA GONCALVES GAMBARRA</t>
  </si>
  <si>
    <t>ATACADÃO - JARDIM MARIANA</t>
  </si>
  <si>
    <t>ATACADÃO - PORTO</t>
  </si>
  <si>
    <t>ATACADÃO - CUIABÁ CPA/MORADA DO OURO (BELA VISTA)</t>
  </si>
  <si>
    <t>ATACADÃO - TIJUCAL</t>
  </si>
  <si>
    <t>ATACADÃO JD GLÓRIA</t>
  </si>
  <si>
    <t>ASSAÍ - CRISTO REI</t>
  </si>
  <si>
    <t>SUPER VI SANTA MARIA</t>
  </si>
  <si>
    <t xml:space="preserve">YAGO BORGES DE QUEIROZ </t>
  </si>
  <si>
    <t>FLORESTA PARQUE BRASÍLIA</t>
  </si>
  <si>
    <t>CARREFOUR</t>
  </si>
  <si>
    <t>FLORESTA CENTRO</t>
  </si>
  <si>
    <t>FLORESTA AV TIRADENTES</t>
  </si>
  <si>
    <t>SUPERVI - ALEXANDRINA LOJA 11</t>
  </si>
  <si>
    <t>PEROLA BAIRRO LOURDES</t>
  </si>
  <si>
    <t>SUPERVI - CENTRO LOJA 04</t>
  </si>
  <si>
    <t>SUPERVI - BAIRRO S. JORGE LOJA 08</t>
  </si>
  <si>
    <t>PEROLA COMPRE FACIL</t>
  </si>
  <si>
    <t>SUPERVI - BAIRRO JAIARA - LOJA 09</t>
  </si>
  <si>
    <t>SUPERVI - JAIARA LOJA 09 (SETOR NORTE)</t>
  </si>
  <si>
    <t>REAL BRASIL - ANAPOLIS</t>
  </si>
  <si>
    <t>CASA E COZINHA - ANAPOLIS</t>
  </si>
  <si>
    <t>PRAÇA OESTE</t>
  </si>
  <si>
    <t>PROLAR - ANAPOLIS</t>
  </si>
  <si>
    <t>PRES. KENNEDY</t>
  </si>
  <si>
    <t>SUPERVI - JARDIM AMÉRICA LOJA 07</t>
  </si>
  <si>
    <t>ASSAÍ - SANTA ROSA</t>
  </si>
  <si>
    <t>ASSAÍ - PARQUE OHARA</t>
  </si>
  <si>
    <t>ASSAÍ - JARDIM DAS AMÉRICAS</t>
  </si>
  <si>
    <t>BIGLAR - JARDIM DAS AMÉRICAS</t>
  </si>
  <si>
    <t>BIGLAR - MIGUEL SUTIL</t>
  </si>
  <si>
    <t>BIGLAR - VÁRZEA GRANDE</t>
  </si>
  <si>
    <t>Selecione o Promotor:</t>
  </si>
  <si>
    <t xml:space="preserve">TOTAL </t>
  </si>
  <si>
    <t xml:space="preserve">INDUSTRIA </t>
  </si>
  <si>
    <t xml:space="preserve">LOJA </t>
  </si>
  <si>
    <t>SAB</t>
  </si>
  <si>
    <t>AO QUADRADO</t>
  </si>
  <si>
    <t>DIA A DIA - VICENTE PIRES R 04</t>
  </si>
  <si>
    <t>DF</t>
  </si>
  <si>
    <t>ANDERSON WILLIAMS SANTOS TORRES</t>
  </si>
  <si>
    <t>DIA A DIA - VICENTE PIRES R 12</t>
  </si>
  <si>
    <t>COPRA</t>
  </si>
  <si>
    <t>SUPER ADEGA - TAGUATINGA NORTE QNL</t>
  </si>
  <si>
    <t>COSTA ATACADÃO - TAGUATINGA NORTE</t>
  </si>
  <si>
    <t>TATICO - VICENTE PIRES RUA 12</t>
  </si>
  <si>
    <t>TATICO - CEILANDIA SUL</t>
  </si>
  <si>
    <t>PACHA ALIMENTOS</t>
  </si>
  <si>
    <t>SELETA</t>
  </si>
  <si>
    <t>COOPATOS</t>
  </si>
  <si>
    <t>DIA A DIA - MESTRE D'ARMAS</t>
  </si>
  <si>
    <t>ANTONIA AMANDA SIEBRA BATISTA</t>
  </si>
  <si>
    <t>DIA A DIA - PLANALTINA DF</t>
  </si>
  <si>
    <t>DIA A DIA - PLANALTINA GO</t>
  </si>
  <si>
    <t>MENDEZ</t>
  </si>
  <si>
    <t>MISSIATO</t>
  </si>
  <si>
    <t>FORT ATACADISTA - PLANALTINA DF</t>
  </si>
  <si>
    <t>DIA A DIA - GAMA</t>
  </si>
  <si>
    <t>CARLOS DA GUIA NUNES</t>
  </si>
  <si>
    <t>SUPER ADEGA - GAMA</t>
  </si>
  <si>
    <t>ATACADÃO - GAMA</t>
  </si>
  <si>
    <t>TATICO - SANTA MARIA</t>
  </si>
  <si>
    <t>COMPER - GAMA LOJA 152</t>
  </si>
  <si>
    <t>DIA A DIA - NOVO GAMA</t>
  </si>
  <si>
    <t>COSTA ATACADÃO - VALPARAÍSO DE GOIÁS</t>
  </si>
  <si>
    <t>DIA A DIA - 070</t>
  </si>
  <si>
    <t>TATICO - AGUAS LINDAS LOJA 01</t>
  </si>
  <si>
    <t>TATICO - AGUAS LINDAS LOJA 02</t>
  </si>
  <si>
    <t>DIA A DIA - AGUAS LINDAS</t>
  </si>
  <si>
    <t>SUPER ADEGA - VALPARAÍSO</t>
  </si>
  <si>
    <t xml:space="preserve">FRANKLIN MATOS RODRIGUES </t>
  </si>
  <si>
    <t>CHULETÃO</t>
  </si>
  <si>
    <t>ASSAÍ - VALPARAÍSO</t>
  </si>
  <si>
    <t>ATACADÃO - VALPARAÍSO DE GOIÁS</t>
  </si>
  <si>
    <t>DIA A DIA - LUZIANIA PARK ALVORADA</t>
  </si>
  <si>
    <t>DIA A DIA - LUZIANIA CENTRO</t>
  </si>
  <si>
    <t>COSTA ATACADÃO - LUZIANIA</t>
  </si>
  <si>
    <t>ASSAI - TAGUATINGA (PISTAO SUL)</t>
  </si>
  <si>
    <t>GRAZIELE MELO SILVA ALVES</t>
  </si>
  <si>
    <t>BIG BOX - ÁGUAS CLARAS (PAINEIRAS)</t>
  </si>
  <si>
    <t>DIA A DIA - CEILANDIA CENTRO</t>
  </si>
  <si>
    <t>DON LUIZ</t>
  </si>
  <si>
    <t>ATACADÃO - TAGUATINGA QNL</t>
  </si>
  <si>
    <t>ASSAÍ - CEILANDIA</t>
  </si>
  <si>
    <t>COSTA ATACADÃO - UNIEURO (AGUAS CLARAS)</t>
  </si>
  <si>
    <t>ASSAI - TAGUATINGA SHOPPING</t>
  </si>
  <si>
    <t>DIA A DIA - SOBRADINHO</t>
  </si>
  <si>
    <t>PAULO VICTOR RODRIGUES DE ALMEIDA</t>
  </si>
  <si>
    <t>COSTA ATACADÃO - TAQUARI</t>
  </si>
  <si>
    <t>ATACADÃO - SOBRADINHO</t>
  </si>
  <si>
    <t>DIA A DIA - EPTG</t>
  </si>
  <si>
    <t>SAMILLE APARECIDA DOS SANTOS DAMASCENO BARBOSA</t>
  </si>
  <si>
    <t>DIA A DIA - AGUAS CLARAS</t>
  </si>
  <si>
    <t>PÃO DE AÇÚCAR - GUARÁ II</t>
  </si>
  <si>
    <t>SUPER ADEGA - GUARA II</t>
  </si>
  <si>
    <t>TATICO - EPTG</t>
  </si>
  <si>
    <t>COSTA ATACADÃO - UNIEURO</t>
  </si>
  <si>
    <t>ATACADÃO - RECANTO DAS EMAS</t>
  </si>
  <si>
    <t xml:space="preserve">YURE PEREIRA DA SILVA </t>
  </si>
  <si>
    <t>SUPER ADEGA - TAGUATINGA SUL</t>
  </si>
  <si>
    <t>ATACADÃO - PISTÃO SUL 343</t>
  </si>
  <si>
    <t>DIA A DIA - PISTÃO SUL</t>
  </si>
  <si>
    <t>ATACADÃO - BRASÍLIA SIA</t>
  </si>
  <si>
    <t>GÊNESIS PEREIRA SIQUEIRA</t>
  </si>
  <si>
    <t>SUPER ADEGA - SIA</t>
  </si>
  <si>
    <t>ASSAÍ - BRASÍLIA SIA</t>
  </si>
  <si>
    <t>DIA A DIA - SIA</t>
  </si>
  <si>
    <t>Semanas por mês (para converter check semanal em frequência mensal):</t>
  </si>
  <si>
    <t>INDÚSTRIA</t>
  </si>
  <si>
    <t>FREQ. MENSAL CONTRATADA (TOTAL)</t>
  </si>
  <si>
    <t>FREQ. MENSAL REALIZADA (TOTAL EST.)</t>
  </si>
  <si>
    <t>DIFERENÇA</t>
  </si>
  <si>
    <t>STATUS</t>
  </si>
  <si>
    <t>ID</t>
  </si>
  <si>
    <t xml:space="preserve">NOME </t>
  </si>
  <si>
    <t>CIDADE ATENDIMENTO</t>
  </si>
  <si>
    <t>CONTATO</t>
  </si>
  <si>
    <t>Loja</t>
  </si>
  <si>
    <t>Observação</t>
  </si>
  <si>
    <t>ALEXANDRE FREITAS DA SILVA</t>
  </si>
  <si>
    <t xml:space="preserve">JHONATTA WISNNER GONÇALVES </t>
  </si>
  <si>
    <t xml:space="preserve">PISTÃO SUL </t>
  </si>
  <si>
    <t>GAMA E NOVO GAMA</t>
  </si>
  <si>
    <t>SOBRADINHO</t>
  </si>
  <si>
    <t>PLANALTINA GOIAS E DF</t>
  </si>
  <si>
    <t>CEILANDIA E AGUAS CLARAS</t>
  </si>
  <si>
    <t>AGUAS LINDAS / 070</t>
  </si>
  <si>
    <t>EPTG / AGUAS / GUARA</t>
  </si>
  <si>
    <t xml:space="preserve">MARIA EDUARDA CARDOSO DOS SANTOS  </t>
  </si>
  <si>
    <t>GUILHERME RODRIGUES SILVA DE LIMA</t>
  </si>
  <si>
    <t xml:space="preserve">VICENTE PIRES / TATICO DA CEILANDIA / TAGUATINGA </t>
  </si>
  <si>
    <t>VALPARAISO / LUZIANIA</t>
  </si>
  <si>
    <t>PRISCYLLA GOMES DA SILVA</t>
  </si>
  <si>
    <t>SAMAMBAIA/ RIACHO / RECANTO</t>
  </si>
  <si>
    <t>LUCAS MATHEUS MOREIRA SILVA</t>
  </si>
  <si>
    <t>GOIANIA</t>
  </si>
  <si>
    <t>TRINDADE</t>
  </si>
  <si>
    <t>NUBIA FLAVIA LEITE</t>
  </si>
  <si>
    <t>SIMONE DE JESUS PEREIRA</t>
  </si>
  <si>
    <t>CATALAO</t>
  </si>
  <si>
    <t xml:space="preserve">THAYZA DE OLIVEIRA PEREIRA </t>
  </si>
  <si>
    <t>RIO VERDE</t>
  </si>
  <si>
    <t xml:space="preserve">MATHEUS RIBEIRO SILVA </t>
  </si>
  <si>
    <t>ITUMBIARA</t>
  </si>
  <si>
    <t>ANAPOLIS</t>
  </si>
  <si>
    <t xml:space="preserve">CAMILA TRINDADE DE OLIVEIRA </t>
  </si>
  <si>
    <t>JATAI</t>
  </si>
  <si>
    <t>CALDAS NOVAS</t>
  </si>
  <si>
    <t>THALLYSON WILLIAM DE SOUSA SILVA</t>
  </si>
  <si>
    <t xml:space="preserve">DANIEL ALEXANDRE DE ALMEIDA  </t>
  </si>
  <si>
    <t>GOIÂNIA</t>
  </si>
  <si>
    <t>ARAGUAINA</t>
  </si>
  <si>
    <t>PALMAS</t>
  </si>
  <si>
    <t xml:space="preserve">RAFAELA SILVA GOMES </t>
  </si>
  <si>
    <t>BARRA DO GARÇAS</t>
  </si>
  <si>
    <t>JEFFERSON JUNIOR DE SOUZA</t>
  </si>
  <si>
    <t>PRIMAVERA DO LESTE</t>
  </si>
  <si>
    <t>ERIK MATHEUS DE SOUZA MENDES</t>
  </si>
  <si>
    <t>SINOP</t>
  </si>
  <si>
    <t>CUIABA/VÁRZEA GRANDE</t>
  </si>
  <si>
    <t>ALINE DA SILVA PROCOPIO</t>
  </si>
  <si>
    <t>DOURADOS</t>
  </si>
  <si>
    <t>CAMPO GRANDE</t>
  </si>
  <si>
    <t>MILLENA CONCEICAO MOURA CRUZ</t>
  </si>
  <si>
    <t>LUIS EDUARDO MAGALHAES</t>
  </si>
  <si>
    <t>GUSTAVO JEAN FERREIRA ALVES</t>
  </si>
  <si>
    <t>CEILANDIA</t>
  </si>
  <si>
    <t>PISTÃO SUL/RECANTO</t>
  </si>
  <si>
    <t xml:space="preserve">ANDERSON WILLIAMS SANTOS TORRES </t>
  </si>
  <si>
    <t xml:space="preserve"> CEILANDIA/VICENTE PIRES/TAGUATINGA</t>
  </si>
  <si>
    <t>SIA</t>
  </si>
  <si>
    <t>REDE</t>
  </si>
  <si>
    <t>DIA A DIA</t>
  </si>
  <si>
    <t>DIA A DIA - LUÍS EDUARDO MAGALHÃES</t>
  </si>
  <si>
    <t>BA</t>
  </si>
  <si>
    <t>ATACADÃO</t>
  </si>
  <si>
    <t>ATACADÃO - ASA NORTE</t>
  </si>
  <si>
    <t>ATACADÃO - BRASILIA</t>
  </si>
  <si>
    <t>BIG BOX</t>
  </si>
  <si>
    <t>BIG BOX - 211 NORTE</t>
  </si>
  <si>
    <t>BIG BOX - 402 NORTE</t>
  </si>
  <si>
    <t>BIG BOX - 408 NORTE</t>
  </si>
  <si>
    <t>BIG BOX - 413 SUL</t>
  </si>
  <si>
    <t>BIG BOX - 508 SUL</t>
  </si>
  <si>
    <t>BIG BOX - CA 01</t>
  </si>
  <si>
    <t>BIG BOX - CASTANHEIRAS</t>
  </si>
  <si>
    <t>BIG BOX - CLSW QD 105</t>
  </si>
  <si>
    <t>BIG BOX - QI 05/08</t>
  </si>
  <si>
    <t>BIG BOX - QI 09/10</t>
  </si>
  <si>
    <t>CARREFOUR HIPER - PARK SHOPPING</t>
  </si>
  <si>
    <t>CARREFOUR HIPERMERCADO - ASA NORTE</t>
  </si>
  <si>
    <t>CARREFOUR HIPERMERCADO - ASA NORTE II</t>
  </si>
  <si>
    <t>CARREFOUR HIPERMERCADO - ASA NORTE IV</t>
  </si>
  <si>
    <t>CARREFOUR HIPERMERCADO - ASA SUL I</t>
  </si>
  <si>
    <t>CARREFOUR HIPERMERCADO - ASA SUL II</t>
  </si>
  <si>
    <t>CARREFOUR HIPERMERCADO - BOM MOTIVO</t>
  </si>
  <si>
    <t>CARREFOUR HIPERMERCADO - GUARÁ</t>
  </si>
  <si>
    <t>CARREFOUR HIPERMERCADO - LAGO SUL</t>
  </si>
  <si>
    <t>CARREFOUR HIPERMERCADO - PARK SHOPPING</t>
  </si>
  <si>
    <t>CARREFOUR HIPERMERCADO - ÁGUAS CLARAS</t>
  </si>
  <si>
    <t>COMPER</t>
  </si>
  <si>
    <t>COMPER - ASA SUL LOJA 137</t>
  </si>
  <si>
    <t>COMPER - PLANALTINA LOJA 187</t>
  </si>
  <si>
    <t>COMPER - SOBRADINHO LOJA 157</t>
  </si>
  <si>
    <t>COMPER - ÁGUAS CLARAS</t>
  </si>
  <si>
    <t>COSTA ATACADÃO</t>
  </si>
  <si>
    <t>COSTA ATACADÃO - ADE/EPNB ÁGUAS CLARAS</t>
  </si>
  <si>
    <t>COSTA ATACADÃO - EPTG VICENTE PIRES</t>
  </si>
  <si>
    <t>COSTA ATACADÃO - SENADOR CANEDO (DF)</t>
  </si>
  <si>
    <t>COSTA ATACADÃO - TAQUARI (LAGO NORTE)</t>
  </si>
  <si>
    <t>DIA A DIA - CEILANDIA SUL</t>
  </si>
  <si>
    <t>DIA A DIA - ESTÂNCIA MESTRE D'ARMAS</t>
  </si>
  <si>
    <t>DIA A DIA - JARDIM BOTÂNICO</t>
  </si>
  <si>
    <t>DIA A DIA - RECANTO DAS EMAS</t>
  </si>
  <si>
    <t>DIA A DIA - RIACHO FUNDO</t>
  </si>
  <si>
    <t>DIA A DIA - RIACHO FUNDO I</t>
  </si>
  <si>
    <t>DIA A DIA - SAMAMBAIA</t>
  </si>
  <si>
    <t>DIA A DIA - SAMAMBAIA 060</t>
  </si>
  <si>
    <t>DIA A DIA - SAMAMBAIA FURNAS</t>
  </si>
  <si>
    <t>DIA A DIA - TAGUATINGA</t>
  </si>
  <si>
    <t>EMPORIO PRIME</t>
  </si>
  <si>
    <t>EMPORIO PRIME - BRASILIA</t>
  </si>
  <si>
    <t>FORT ATACADISTA</t>
  </si>
  <si>
    <t>FORT ATACADISTA - CEILÂNDIA</t>
  </si>
  <si>
    <t>FORT ATACADISTA - RECANTO DAS EMAS</t>
  </si>
  <si>
    <t>FORT ATACADISTA - SOL NASCENTE</t>
  </si>
  <si>
    <t>FORT ATACADISTA - TAGUATINGA</t>
  </si>
  <si>
    <t>PEROLA</t>
  </si>
  <si>
    <t>PÃO</t>
  </si>
  <si>
    <t>RIO VERMELHO</t>
  </si>
  <si>
    <t>RIO VERMELHO MARACANÃ</t>
  </si>
  <si>
    <t>SUPER ADEGA</t>
  </si>
  <si>
    <t>SUPER ADEGA - JARDIM BOTÂNICO</t>
  </si>
  <si>
    <t>TATICO</t>
  </si>
  <si>
    <t>TATICO - RECANTO DAS EMAS</t>
  </si>
  <si>
    <t>TATICO - SAMAMBAIA NORTE</t>
  </si>
  <si>
    <t>TATICO - SAMAMBAIA SUL</t>
  </si>
  <si>
    <t>ULTRABOX</t>
  </si>
  <si>
    <t>ULTRABOX - EPTG</t>
  </si>
  <si>
    <t>ASSAÍ</t>
  </si>
  <si>
    <t>ASSAÍ - ANÁPOLIS</t>
  </si>
  <si>
    <t>ATACADÃO - ANAPOLIS</t>
  </si>
  <si>
    <t>ATACADÃO - APARECIDA DE GOIANIA</t>
  </si>
  <si>
    <t>ATACADÃO - APARECIDA DE GOIANIA AV. RIO VERDE</t>
  </si>
  <si>
    <t>ATACADÃO - COSTA MADRI</t>
  </si>
  <si>
    <t>ATACADÃO - FORMOSA</t>
  </si>
  <si>
    <t>ATACADÃO - GOIANIA</t>
  </si>
  <si>
    <t>ATACADÃO - ITUMBIARA</t>
  </si>
  <si>
    <t>ATACADÃO - RIO VERDE</t>
  </si>
  <si>
    <t>ATACADÃO - ROD. DOS ROMEIROS 214</t>
  </si>
  <si>
    <t>ATENDE</t>
  </si>
  <si>
    <t>ATENDE MAIS BRASIL</t>
  </si>
  <si>
    <t>BRETAS</t>
  </si>
  <si>
    <t>BRETAS - CATALÃO</t>
  </si>
  <si>
    <t>BRETAS - JATAI</t>
  </si>
  <si>
    <t>CAMPEAO</t>
  </si>
  <si>
    <t>CAMPEAO SUPERMERCADOS - JOAQUIM VAZ</t>
  </si>
  <si>
    <t>CAMPEÃO</t>
  </si>
  <si>
    <t>CAMPEÃO SUPERMERCADO - SETOR DAS MANSÕES</t>
  </si>
  <si>
    <t>CAMPEÃO SUPERMERCADO - VILA SANTA MARIA</t>
  </si>
  <si>
    <t>CARREFOUR HIPERMERCADO - ANÁPOLIS</t>
  </si>
  <si>
    <t>CASA</t>
  </si>
  <si>
    <t>CITRO5</t>
  </si>
  <si>
    <t>CITRO5 - MARCELINO TEODORO GOMES</t>
  </si>
  <si>
    <t>COMERCIAL</t>
  </si>
  <si>
    <t>COSTA</t>
  </si>
  <si>
    <t>COSTA 3 MARIAS (ANEL VIARIO)</t>
  </si>
  <si>
    <t>COSTA RODOVIARIA (FEIRA DA 44)</t>
  </si>
  <si>
    <t>COSTA ATACADÃO - JARDIM GOIAS (FLAMBOYANT)</t>
  </si>
  <si>
    <t>DIA A DIA - BALNEARIO</t>
  </si>
  <si>
    <t>DIA A DIA - CALDAS NOVAS</t>
  </si>
  <si>
    <t>DIA A DIA - FORMOSA</t>
  </si>
  <si>
    <t>DIA A DIA - GOIANÉSIA</t>
  </si>
  <si>
    <t>DIA A DIA - ITUMBIARA</t>
  </si>
  <si>
    <t>DIA A DIA - SANTO ANTONIO</t>
  </si>
  <si>
    <t>DIA A DIA - SANTO ANTONIO DO DESCOBERTO</t>
  </si>
  <si>
    <t>EMPORIO PRIME - GOIANIA</t>
  </si>
  <si>
    <t>EMPORIO PRIME JAMEL CECILIO</t>
  </si>
  <si>
    <t>FORT ATACADISTA - VALPARAISO</t>
  </si>
  <si>
    <t>FRIOS</t>
  </si>
  <si>
    <t>FRIOS FERREIRA</t>
  </si>
  <si>
    <t>HIPER</t>
  </si>
  <si>
    <t>HIPER VIP SUPERMERCADO (SUPERVI ANA SHOPPING)</t>
  </si>
  <si>
    <t>JARDIM</t>
  </si>
  <si>
    <t>JARDIM GONÇALVES - ANÁPOLIS</t>
  </si>
  <si>
    <t>JIBRAN</t>
  </si>
  <si>
    <t>JIBRAN EL HADJ - ANÁPOLIS</t>
  </si>
  <si>
    <t>POVO</t>
  </si>
  <si>
    <t>POVO LOJA 01 RECANTO DO SOL</t>
  </si>
  <si>
    <t>PRAÇA</t>
  </si>
  <si>
    <t>PRES.</t>
  </si>
  <si>
    <t>PROLAR</t>
  </si>
  <si>
    <t>REAL</t>
  </si>
  <si>
    <t>REDE MAX</t>
  </si>
  <si>
    <t>REDE MAX - AV MUTIRÃO</t>
  </si>
  <si>
    <t>REDE MAX - INDEPENDÊNCIA</t>
  </si>
  <si>
    <t>REDE MAX - PARK REAL</t>
  </si>
  <si>
    <t>REDE MAX - RIO VERDE</t>
  </si>
  <si>
    <t>REDE MAX-TRIUNFO</t>
  </si>
  <si>
    <t>REIS SUPERMERCADOS</t>
  </si>
  <si>
    <t>REIS SUPERMERCADOS LOJA 01</t>
  </si>
  <si>
    <t>REIS SUPERMERCADOS LOJA 03</t>
  </si>
  <si>
    <t>REIS SUPERMERCADOS LOJA 04</t>
  </si>
  <si>
    <t>REIS SUPERMERCADOS LOJA 08</t>
  </si>
  <si>
    <t>REIS SUPERMERCADOS LOJA 09</t>
  </si>
  <si>
    <t>REIS SUPERMERCADOS LOJA 10</t>
  </si>
  <si>
    <t>REIS SUPERMERCADOS LOJA 11</t>
  </si>
  <si>
    <t>REIS SUPERMERCADOS LOJA 12</t>
  </si>
  <si>
    <t>REIS SUPERMERCADOS LOJA 13</t>
  </si>
  <si>
    <t>REIS SUPERMERCADOS LOJA 14</t>
  </si>
  <si>
    <t>REIS SUPERMERCADOS LOJA 15</t>
  </si>
  <si>
    <t>REIS SUPERMERCADOS LOJA 17</t>
  </si>
  <si>
    <t>REIS SUPERMERCADOS LOJA 20</t>
  </si>
  <si>
    <t>REIS SUPERMERCADOS LOJA 21</t>
  </si>
  <si>
    <t>REIS SUPERMERCADOS LOJA 22</t>
  </si>
  <si>
    <t>REIS SUPERMERCADOS LOJA 23</t>
  </si>
  <si>
    <t>REIS SUPERMERCADOS LOJA 24</t>
  </si>
  <si>
    <t>REIS SUPERMERCADOS LOJA 25</t>
  </si>
  <si>
    <t>RHEIDNER</t>
  </si>
  <si>
    <t>RHEIDNER MORAES TOSTA EIRELLI</t>
  </si>
  <si>
    <t>RIO VERMELHO - CATALÃO</t>
  </si>
  <si>
    <t>RIO VERMELHO - JUNDIAÍ</t>
  </si>
  <si>
    <t>RIO VERMELHO - MARACANÃ</t>
  </si>
  <si>
    <t>RIO VERMELHO - PECUARIA</t>
  </si>
  <si>
    <t>RIO VERMELHO CATALÃO</t>
  </si>
  <si>
    <t>RIO VERMELHO JUNDIAÍ</t>
  </si>
  <si>
    <t>STORE</t>
  </si>
  <si>
    <t>STORE - AMÉRICA SHOPPING</t>
  </si>
  <si>
    <t>STORE - PERIMETRAL NORTE</t>
  </si>
  <si>
    <t>STORE - SERRINHA</t>
  </si>
  <si>
    <t>STORE - TRINDADE CENTRO</t>
  </si>
  <si>
    <t>STORE - URIAS MAGALHÃES</t>
  </si>
  <si>
    <t>STORE - VILA PAI ETERNO</t>
  </si>
  <si>
    <t>SUPER</t>
  </si>
  <si>
    <t>SUPER CENTRAL GOIANIRA</t>
  </si>
  <si>
    <t>SUPER LÉO - MAX-SANTA RITA</t>
  </si>
  <si>
    <t>SUPER RAIO-MULTIRAO</t>
  </si>
  <si>
    <t>SUPER RAIO-NOVO MUNDO</t>
  </si>
  <si>
    <t>SUPERMERCADO</t>
  </si>
  <si>
    <t>SUPERMERCADO ATENDE MAIS</t>
  </si>
  <si>
    <t>SUPERMERCADO DO POVO - LOJA 02</t>
  </si>
  <si>
    <t>SUPERMERCADO JARDINS - BOA VISTA</t>
  </si>
  <si>
    <t>SUPERMERCADO NOVA JE</t>
  </si>
  <si>
    <t>SUPERMERCADO FLORESTA</t>
  </si>
  <si>
    <t>SUPERMERCADO FLORESTA - MARACANÃ</t>
  </si>
  <si>
    <t>SUPERMERCADO FLORESTA - PARQUE BRASILIA 2A ETAPA</t>
  </si>
  <si>
    <t>SUPERMERCADO FLORESTA - SETOR CENTRAL</t>
  </si>
  <si>
    <t>SUPERMERCADOS BRASIL</t>
  </si>
  <si>
    <t>SUPERMERCADOS BRASIL 1 - SANTA LUZIA</t>
  </si>
  <si>
    <t>SUPERMERCADOS BRASIL 2 - CENTRO</t>
  </si>
  <si>
    <t>SUPERMERCADOS BRASIL 3 - SÃO CRISTÓVÃO</t>
  </si>
  <si>
    <t>SUPERMERCADOS BRASIL 4 NOVA AURORA - CENTRO</t>
  </si>
  <si>
    <t>SUPERVI</t>
  </si>
  <si>
    <t>SUPERVI - BAIRRO J.K LOJA 12</t>
  </si>
  <si>
    <t>SUPERVI - BAIRRO JAIARA LOJA 03</t>
  </si>
  <si>
    <t>SUPERVI - BAIRRO JK LOJA 12</t>
  </si>
  <si>
    <t>SUPERVI - BAIRRO VILA SÃO JORGE LOJA 08</t>
  </si>
  <si>
    <t>SUPERVI - CENTRO</t>
  </si>
  <si>
    <t>SUPERVI - CIDADE JARDIM GOIANIA 15</t>
  </si>
  <si>
    <t>SUPERVI - IAPC</t>
  </si>
  <si>
    <t>SUPERVI - JARDIM DAS OLIVEIRAS 14 (SENADOR CANEDO)</t>
  </si>
  <si>
    <t>SUPERVI - LOJA 06 RECANTO DO SOL</t>
  </si>
  <si>
    <t>SUPERVI - LOJA 16 INDUSTRIAL</t>
  </si>
  <si>
    <t>SUPERVI - LOJA 17 ALVORADA</t>
  </si>
  <si>
    <t>SUPERVI - RESIDENCIAL DO CERRADO (DAIA)</t>
  </si>
  <si>
    <t>SUPERVI - SANTA MARIA LOJA 05</t>
  </si>
  <si>
    <t>SUPERVI SUPERMERCADOS - JARDIM GOIANO</t>
  </si>
  <si>
    <t>SUPERVI SUPERMERCADOS - PRESIDENTE KENNEDY</t>
  </si>
  <si>
    <t>SUPERVI SUPERMERCADOS - RES. DAS FLORES</t>
  </si>
  <si>
    <t>SUPERVI SUPERMERCADOS - SANTA MARIA DE NAZARETH</t>
  </si>
  <si>
    <t>SUPERVI SUPERMERCADOS - VILA JAIARA</t>
  </si>
  <si>
    <t>TATICO - CAMPINAS</t>
  </si>
  <si>
    <t>TATICO - CAPUAVA</t>
  </si>
  <si>
    <t>TATICO - CENTRAL</t>
  </si>
  <si>
    <t>TATICO - GARAVELO</t>
  </si>
  <si>
    <t>TATICO - JD AMÉRICA</t>
  </si>
  <si>
    <t>TATICO - JD BELA MORADA</t>
  </si>
  <si>
    <t>TATICO - OESTE</t>
  </si>
  <si>
    <t>TATICO - PAPILON</t>
  </si>
  <si>
    <t>TATICO - PORTAL SHOPPING</t>
  </si>
  <si>
    <t>TATICO - T7</t>
  </si>
  <si>
    <t>TATICO PAPILON</t>
  </si>
  <si>
    <t>TATICO PORTAL</t>
  </si>
  <si>
    <t>TATICO T7</t>
  </si>
  <si>
    <t>ULTRABOX - PLANALTINA GO</t>
  </si>
  <si>
    <t>VAREJO</t>
  </si>
  <si>
    <t>VILLEFORT</t>
  </si>
  <si>
    <t>VILLEFORT - ANÁPOLIS</t>
  </si>
  <si>
    <t>VILLEFORT - JATAÍ</t>
  </si>
  <si>
    <t>ASSAÍ - ACRISUL</t>
  </si>
  <si>
    <t>ASSAÍ - CAMPO GRANDE AEROPORTO</t>
  </si>
  <si>
    <t>ASSAÍ - CENTENÁRIO</t>
  </si>
  <si>
    <t>ASSAÍ - CORONEL ANTONINO</t>
  </si>
  <si>
    <t>ASSAÍ - DOURADOS</t>
  </si>
  <si>
    <t>ASSAÍ - JOAQUIM MURTINHO</t>
  </si>
  <si>
    <t>ATACADÃO - AEROPORTO</t>
  </si>
  <si>
    <t>ATACADÃO - CORONEL ANTONINO</t>
  </si>
  <si>
    <t>ATACADÃO - DOURADOS</t>
  </si>
  <si>
    <t>ATACADÃO - MIGUEL SUTIL CENTENÁRIO</t>
  </si>
  <si>
    <t>ATACADÃO - TRÊS LAGOAS</t>
  </si>
  <si>
    <t>COMPER - DOURADOS</t>
  </si>
  <si>
    <t>COMPER - EULER DE AZEVEDO/PARADISO</t>
  </si>
  <si>
    <t>COMPER - HIPER YPÊ</t>
  </si>
  <si>
    <t>COMPER - ITANHANGÁ</t>
  </si>
  <si>
    <t>COMPER - SPIPE CALARGE</t>
  </si>
  <si>
    <t>COMPER - TAMANDARÉ/LEONIDIA</t>
  </si>
  <si>
    <t>COMPER - ZAHRAN - JD ESTADOS</t>
  </si>
  <si>
    <t>FORT ATACADISTA - ALPHAVILLE</t>
  </si>
  <si>
    <t>FORT ATACADISTA - CAFEZAIS</t>
  </si>
  <si>
    <t>FORT ATACADISTA - CORONEL ANTONINO</t>
  </si>
  <si>
    <t>FORT ATACADISTA - CÔNSUL 535</t>
  </si>
  <si>
    <t>FORT ATACADISTA - PARATI</t>
  </si>
  <si>
    <t>FORT ATACADISTA - PRAÇA DO PAPA 76</t>
  </si>
  <si>
    <t>FORT ATACADISTA - TIJUCA</t>
  </si>
  <si>
    <t>FORT ATACADISTA - TRÊS BARRAS</t>
  </si>
  <si>
    <t>FORT ATACADISTA - UNIÃO 315</t>
  </si>
  <si>
    <t>ASSAÍ - COXIPÓ</t>
  </si>
  <si>
    <t>MT</t>
  </si>
  <si>
    <t>ASSAÍ - RONDONOPOLIS JOÃO PONCE 216</t>
  </si>
  <si>
    <t>ASSAÍ - RONDONÓPOLIS 102</t>
  </si>
  <si>
    <t>ASSAÍ - SINOP</t>
  </si>
  <si>
    <t>ASSAÍ - VÁRGEA GRANDE</t>
  </si>
  <si>
    <t>ATACADÃO - BARRA DO GARÇAS</t>
  </si>
  <si>
    <t>ATACADÃO - LUCAS DO RIO VERDE</t>
  </si>
  <si>
    <t>ATACADÃO - PRIMAVERA DO LESTE</t>
  </si>
  <si>
    <t>ATACADÃO - RONDONOPOLIS UNIVERSITÁRIO 888 PARQUE</t>
  </si>
  <si>
    <t>ATACADÃO - RONDONÓPOLIS CENTRO 886</t>
  </si>
  <si>
    <t>ATACADÃO - SINOP</t>
  </si>
  <si>
    <t>ATACADÃO - SORRISO</t>
  </si>
  <si>
    <t>ATACADÃO - TANGARÁ DA SERRA</t>
  </si>
  <si>
    <t>ATACADÃO - VÁRZEA GRANDE/JULIO CAMPOS</t>
  </si>
  <si>
    <t>BIGLAR</t>
  </si>
  <si>
    <t>ATACADÃO - GURUPI</t>
  </si>
  <si>
    <t>ATACADÃO - GURUPI 673</t>
  </si>
  <si>
    <t>CAMPELO</t>
  </si>
  <si>
    <t>CAMPELO - ATACADO &amp; VAREJO</t>
  </si>
  <si>
    <t>CAMPELO - CENTRO</t>
  </si>
  <si>
    <t>CAMPELO - ENTRONCAMENTO</t>
  </si>
  <si>
    <t>CAMPELO - FEIRINHA</t>
  </si>
  <si>
    <t>CAMPELO - VIA LAGO</t>
  </si>
  <si>
    <t>DIA A DIA - GURUPI</t>
  </si>
  <si>
    <t>ASSAÍ - BRASÍLIA NORTE</t>
  </si>
  <si>
    <t>ASSAI - BRASILIA PARK</t>
  </si>
  <si>
    <t>PRO BRAZILIAN</t>
  </si>
  <si>
    <t>MAX SUPERMERCADO</t>
  </si>
  <si>
    <t>SUPER LEO</t>
  </si>
  <si>
    <t xml:space="preserve">ATACADÃO </t>
  </si>
  <si>
    <t xml:space="preserve">MAX ATACADO </t>
  </si>
  <si>
    <t>DIA A DIA APARECIDA DE GOIANIA</t>
  </si>
  <si>
    <t>DIA A DIA AV RIO VERDE</t>
  </si>
  <si>
    <t>DIA A DIA CESAR LATTES</t>
  </si>
  <si>
    <t xml:space="preserve">SUPERMERCADO DO POVO </t>
  </si>
  <si>
    <t>HIPER VIP</t>
  </si>
  <si>
    <t xml:space="preserve">FERREIRA </t>
  </si>
  <si>
    <t xml:space="preserve">RIO VERMELHO </t>
  </si>
  <si>
    <t>FLORESTA</t>
  </si>
  <si>
    <t>CICOPAL GO</t>
  </si>
  <si>
    <t>FRUTA POLPA</t>
  </si>
  <si>
    <t>GRUPO AMA</t>
  </si>
  <si>
    <t>MEDFIO</t>
  </si>
  <si>
    <t>PIRACANJUBA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</si>
</sst>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1.0"/>
      <color rgb="FF0000FF"/>
      <name val="Arial"/>
    </font>
    <font>
      <color rgb="FFFFFFFF"/>
      <name val="Arial"/>
      <scheme val="minor"/>
    </font>
    <font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1" numFmtId="0" xfId="0" applyFont="1"/>
    <xf borderId="0" fillId="2" fontId="1" numFmtId="0" xfId="0" applyAlignment="1" applyFont="1">
      <alignment horizontal="center" shrinkToFit="0" vertical="center" wrapText="0"/>
    </xf>
    <xf borderId="0" fillId="3" fontId="4" numFmtId="0" xfId="0" applyFill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4" fontId="7" numFmtId="0" xfId="0" applyAlignment="1" applyFill="1" applyFont="1">
      <alignment horizontal="center" readingOrder="0" shrinkToFit="0" vertical="bottom" wrapText="0"/>
    </xf>
    <xf borderId="0" fillId="2" fontId="8" numFmtId="0" xfId="0" applyAlignment="1" applyFont="1">
      <alignment horizontal="center" readingOrder="0" shrinkToFit="0" textRotation="0" vertical="center" wrapText="1"/>
    </xf>
    <xf borderId="0" fillId="2" fontId="8" numFmtId="0" xfId="0" applyAlignment="1" applyFont="1">
      <alignment horizontal="center" readingOrder="0" textRotation="0" vertical="center"/>
    </xf>
    <xf borderId="0" fillId="2" fontId="1" numFmtId="0" xfId="0" applyAlignment="1" applyFont="1">
      <alignment horizontal="left"/>
    </xf>
    <xf borderId="1" fillId="3" fontId="9" numFmtId="0" xfId="0" applyAlignment="1" applyBorder="1" applyFont="1">
      <alignment horizontal="center" vertical="bottom"/>
    </xf>
    <xf borderId="2" fillId="3" fontId="9" numFmtId="0" xfId="0" applyAlignment="1" applyBorder="1" applyFont="1">
      <alignment vertical="bottom"/>
    </xf>
    <xf borderId="1" fillId="0" fontId="10" numFmtId="0" xfId="0" applyAlignment="1" applyBorder="1" applyFont="1">
      <alignment horizontal="left"/>
    </xf>
    <xf borderId="1" fillId="0" fontId="11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vertical="bottom"/>
    </xf>
    <xf borderId="0" fillId="0" fontId="2" numFmtId="0" xfId="0" applyAlignment="1" applyFont="1">
      <alignment horizontal="left"/>
    </xf>
    <xf borderId="0" fillId="3" fontId="9" numFmtId="0" xfId="0" applyAlignment="1" applyFont="1">
      <alignment horizontal="center" vertical="bottom"/>
    </xf>
    <xf borderId="1" fillId="3" fontId="9" numFmtId="0" xfId="0" applyAlignment="1" applyBorder="1" applyFont="1">
      <alignment vertical="bottom"/>
    </xf>
    <xf borderId="1" fillId="3" fontId="10" numFmtId="0" xfId="0" applyBorder="1" applyFont="1"/>
    <xf borderId="1" fillId="0" fontId="10" numFmtId="0" xfId="0" applyAlignment="1" applyBorder="1" applyFont="1">
      <alignment horizontal="center"/>
    </xf>
    <xf borderId="1" fillId="0" fontId="9" numFmtId="0" xfId="0" applyAlignment="1" applyBorder="1" applyFont="1">
      <alignment horizontal="left"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164" xfId="0" applyAlignment="1" applyBorder="1" applyFont="1" applyNumberFormat="1">
      <alignment horizontal="left" vertical="bottom"/>
    </xf>
    <xf borderId="1" fillId="0" fontId="12" numFmtId="164" xfId="0" applyAlignment="1" applyBorder="1" applyFont="1" applyNumberFormat="1">
      <alignment horizontal="left" shrinkToFit="0" vertical="bottom" wrapText="0"/>
    </xf>
    <xf borderId="1" fillId="0" fontId="12" numFmtId="0" xfId="0" applyAlignment="1" applyBorder="1" applyFont="1">
      <alignment horizontal="left" shrinkToFit="0" vertical="bottom" wrapText="0"/>
    </xf>
    <xf borderId="1" fillId="0" fontId="1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bottom"/>
    </xf>
    <xf borderId="5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vertical="center"/>
    </xf>
    <xf borderId="0" fillId="3" fontId="2" numFmtId="0" xfId="0" applyAlignment="1" applyFont="1">
      <alignment horizontal="left" shrinkToFit="0" wrapText="0"/>
    </xf>
    <xf borderId="0" fillId="3" fontId="2" numFmtId="0" xfId="0" applyAlignment="1" applyFont="1">
      <alignment horizontal="center" shrinkToFit="0" wrapText="0"/>
    </xf>
    <xf borderId="0" fillId="3" fontId="2" numFmtId="0" xfId="0" applyAlignment="1" applyFont="1">
      <alignment horizontal="left" readingOrder="0" shrinkToFit="0" wrapText="0"/>
    </xf>
    <xf borderId="0" fillId="3" fontId="2" numFmtId="0" xfId="0" applyFont="1"/>
    <xf borderId="0" fillId="3" fontId="2" numFmtId="0" xfId="0" applyAlignment="1" applyFont="1">
      <alignment horizontal="center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0.38"/>
    <col customWidth="1" min="2" max="2" width="15.63"/>
    <col customWidth="1" min="3" max="3" width="36.63"/>
    <col customWidth="1" min="4" max="4" width="5.75"/>
    <col customWidth="1" min="5" max="5" width="34.5"/>
    <col customWidth="1" min="6" max="6" width="7.0"/>
    <col customWidth="1" min="7" max="7" width="6.88"/>
    <col customWidth="1" min="8" max="8" width="7.25"/>
    <col customWidth="1" min="9" max="9" width="6.5"/>
    <col customWidth="1" min="10" max="10" width="6.88"/>
    <col customWidth="1" min="11" max="11" width="7.5"/>
    <col customWidth="1" min="12" max="12" width="7.38"/>
    <col customWidth="1" min="13" max="13" width="15.0"/>
    <col customWidth="1" min="14" max="14" width="17.0"/>
  </cols>
  <sheetData>
    <row r="1" ht="53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J2" s="4"/>
      <c r="M2" s="5">
        <f t="shared" ref="M2:M194" si="1">IF(B2="","",COUNTIF(F2:L2,"✓"))</f>
        <v>1</v>
      </c>
      <c r="N2" s="5">
        <f>IF(B2="","",IF(M2="","",ROUND(M2*'FREQUÊNCIA INDÚSTRIA'!$B$2,1)))</f>
        <v>4</v>
      </c>
    </row>
    <row r="3">
      <c r="B3" s="2" t="s">
        <v>13</v>
      </c>
      <c r="C3" s="2" t="s">
        <v>18</v>
      </c>
      <c r="D3" s="2" t="s">
        <v>15</v>
      </c>
      <c r="E3" s="2" t="s">
        <v>16</v>
      </c>
      <c r="J3" s="4"/>
      <c r="K3" s="3" t="s">
        <v>17</v>
      </c>
      <c r="M3" s="5">
        <f t="shared" si="1"/>
        <v>1</v>
      </c>
      <c r="N3" s="5">
        <f>IF(B3="","",IF(M3="","",ROUND(M3*'FREQUÊNCIA INDÚSTRIA'!$B$2,1)))</f>
        <v>4</v>
      </c>
    </row>
    <row r="4">
      <c r="B4" s="2" t="s">
        <v>13</v>
      </c>
      <c r="C4" s="2" t="s">
        <v>19</v>
      </c>
      <c r="D4" s="2" t="s">
        <v>15</v>
      </c>
      <c r="E4" s="2" t="s">
        <v>16</v>
      </c>
      <c r="F4" s="3" t="s">
        <v>17</v>
      </c>
      <c r="I4" s="3" t="s">
        <v>17</v>
      </c>
      <c r="J4" s="4"/>
      <c r="M4" s="5">
        <f t="shared" si="1"/>
        <v>2</v>
      </c>
      <c r="N4" s="5">
        <f>IF(B4="","",IF(M4="","",ROUND(M4*'FREQUÊNCIA INDÚSTRIA'!$B$2,1)))</f>
        <v>8</v>
      </c>
    </row>
    <row r="5">
      <c r="B5" s="2" t="s">
        <v>13</v>
      </c>
      <c r="C5" s="2" t="s">
        <v>20</v>
      </c>
      <c r="D5" s="2" t="s">
        <v>15</v>
      </c>
      <c r="E5" s="2" t="s">
        <v>16</v>
      </c>
      <c r="I5" s="3" t="s">
        <v>17</v>
      </c>
      <c r="J5" s="4"/>
      <c r="M5" s="5">
        <f t="shared" si="1"/>
        <v>1</v>
      </c>
      <c r="N5" s="5">
        <f>IF(B5="","",IF(M5="","",ROUND(M5*'FREQUÊNCIA INDÚSTRIA'!$B$2,1)))</f>
        <v>4</v>
      </c>
    </row>
    <row r="6">
      <c r="B6" s="2" t="s">
        <v>13</v>
      </c>
      <c r="C6" s="2" t="s">
        <v>21</v>
      </c>
      <c r="D6" s="2" t="s">
        <v>15</v>
      </c>
      <c r="E6" s="2" t="s">
        <v>16</v>
      </c>
      <c r="J6" s="4"/>
      <c r="M6" s="5">
        <f t="shared" si="1"/>
        <v>0</v>
      </c>
      <c r="N6" s="5">
        <f>IF(B6="","",IF(M6="","",ROUND(M6*'FREQUÊNCIA INDÚSTRIA'!$B$2,1)))</f>
        <v>0</v>
      </c>
    </row>
    <row r="7">
      <c r="B7" s="2" t="s">
        <v>22</v>
      </c>
      <c r="C7" s="2" t="s">
        <v>23</v>
      </c>
      <c r="D7" s="2" t="s">
        <v>24</v>
      </c>
      <c r="E7" s="2" t="s">
        <v>25</v>
      </c>
      <c r="F7" s="4"/>
      <c r="G7" s="3" t="s">
        <v>17</v>
      </c>
      <c r="H7" s="4"/>
      <c r="I7" s="3" t="s">
        <v>17</v>
      </c>
      <c r="J7" s="4"/>
      <c r="M7" s="5">
        <f t="shared" si="1"/>
        <v>2</v>
      </c>
      <c r="N7" s="5">
        <f>IF(B7="","",IF(M7="","",ROUND(M7*'FREQUÊNCIA INDÚSTRIA'!$B$2,1)))</f>
        <v>8</v>
      </c>
    </row>
    <row r="8">
      <c r="B8" s="2" t="s">
        <v>22</v>
      </c>
      <c r="C8" s="2" t="s">
        <v>26</v>
      </c>
      <c r="D8" s="2" t="s">
        <v>24</v>
      </c>
      <c r="E8" s="2" t="s">
        <v>25</v>
      </c>
      <c r="F8" s="4"/>
      <c r="G8" s="3" t="s">
        <v>17</v>
      </c>
      <c r="H8" s="4"/>
      <c r="I8" s="3" t="s">
        <v>17</v>
      </c>
      <c r="J8" s="4"/>
      <c r="M8" s="5">
        <f t="shared" si="1"/>
        <v>2</v>
      </c>
      <c r="N8" s="5">
        <f>IF(B8="","",IF(M8="","",ROUND(M8*'FREQUÊNCIA INDÚSTRIA'!$B$2,1)))</f>
        <v>8</v>
      </c>
    </row>
    <row r="9">
      <c r="B9" s="2" t="s">
        <v>22</v>
      </c>
      <c r="C9" s="2" t="s">
        <v>27</v>
      </c>
      <c r="D9" s="2" t="s">
        <v>24</v>
      </c>
      <c r="E9" s="2" t="s">
        <v>25</v>
      </c>
      <c r="F9" s="3" t="s">
        <v>17</v>
      </c>
      <c r="G9" s="3"/>
      <c r="H9" s="3" t="s">
        <v>17</v>
      </c>
      <c r="I9" s="3"/>
      <c r="J9" s="3" t="s">
        <v>17</v>
      </c>
      <c r="M9" s="5">
        <f t="shared" si="1"/>
        <v>3</v>
      </c>
      <c r="N9" s="5">
        <f>IF(B9="","",IF(M9="","",ROUND(M9*'FREQUÊNCIA INDÚSTRIA'!$B$2,1)))</f>
        <v>12</v>
      </c>
    </row>
    <row r="10">
      <c r="B10" s="2" t="s">
        <v>28</v>
      </c>
      <c r="C10" s="2" t="s">
        <v>29</v>
      </c>
      <c r="D10" s="2" t="s">
        <v>24</v>
      </c>
      <c r="E10" s="2" t="s">
        <v>25</v>
      </c>
      <c r="F10" s="4"/>
      <c r="G10" s="4"/>
      <c r="H10" s="4"/>
      <c r="I10" s="4"/>
      <c r="J10" s="3" t="s">
        <v>17</v>
      </c>
      <c r="M10" s="5">
        <f t="shared" si="1"/>
        <v>1</v>
      </c>
      <c r="N10" s="5">
        <f>IF(B10="","",IF(M10="","",ROUND(M10*'FREQUÊNCIA INDÚSTRIA'!$B$2,1)))</f>
        <v>4</v>
      </c>
    </row>
    <row r="11">
      <c r="B11" s="2" t="s">
        <v>28</v>
      </c>
      <c r="C11" s="2" t="s">
        <v>30</v>
      </c>
      <c r="D11" s="2" t="s">
        <v>24</v>
      </c>
      <c r="E11" s="2" t="s">
        <v>25</v>
      </c>
      <c r="F11" s="3" t="s">
        <v>17</v>
      </c>
      <c r="G11" s="4"/>
      <c r="H11" s="3" t="s">
        <v>17</v>
      </c>
      <c r="I11" s="4"/>
      <c r="J11" s="3"/>
      <c r="M11" s="5">
        <f t="shared" si="1"/>
        <v>2</v>
      </c>
      <c r="N11" s="5">
        <f>IF(B11="","",IF(M11="","",ROUND(M11*'FREQUÊNCIA INDÚSTRIA'!$B$2,1)))</f>
        <v>8</v>
      </c>
    </row>
    <row r="12" ht="15.75" customHeight="1">
      <c r="B12" s="2" t="s">
        <v>28</v>
      </c>
      <c r="C12" s="2" t="s">
        <v>31</v>
      </c>
      <c r="D12" s="2" t="s">
        <v>24</v>
      </c>
      <c r="E12" s="2" t="s">
        <v>25</v>
      </c>
      <c r="F12" s="3" t="s">
        <v>17</v>
      </c>
      <c r="G12" s="4"/>
      <c r="H12" s="3" t="s">
        <v>17</v>
      </c>
      <c r="I12" s="4"/>
      <c r="J12" s="3"/>
      <c r="M12" s="5">
        <f t="shared" si="1"/>
        <v>2</v>
      </c>
      <c r="N12" s="5">
        <f>IF(B12="","",IF(M12="","",ROUND(M12*'FREQUÊNCIA INDÚSTRIA'!$B$2,1)))</f>
        <v>8</v>
      </c>
    </row>
    <row r="13" ht="15.75" customHeight="1">
      <c r="B13" s="2" t="s">
        <v>28</v>
      </c>
      <c r="C13" s="2" t="s">
        <v>27</v>
      </c>
      <c r="D13" s="2" t="s">
        <v>24</v>
      </c>
      <c r="E13" s="2" t="s">
        <v>25</v>
      </c>
      <c r="F13" s="3" t="s">
        <v>17</v>
      </c>
      <c r="G13" s="4"/>
      <c r="H13" s="3" t="s">
        <v>17</v>
      </c>
      <c r="I13" s="4"/>
      <c r="J13" s="3" t="s">
        <v>17</v>
      </c>
      <c r="M13" s="5">
        <f t="shared" si="1"/>
        <v>3</v>
      </c>
      <c r="N13" s="5">
        <f>IF(B13="","",IF(M13="","",ROUND(M13*'FREQUÊNCIA INDÚSTRIA'!$B$2,1)))</f>
        <v>12</v>
      </c>
    </row>
    <row r="14" ht="15.75" customHeight="1">
      <c r="B14" s="2" t="s">
        <v>28</v>
      </c>
      <c r="C14" s="2" t="s">
        <v>32</v>
      </c>
      <c r="D14" s="2" t="s">
        <v>24</v>
      </c>
      <c r="E14" s="2" t="s">
        <v>25</v>
      </c>
      <c r="F14" s="3" t="s">
        <v>17</v>
      </c>
      <c r="G14" s="4"/>
      <c r="H14" s="3"/>
      <c r="I14" s="4"/>
      <c r="J14" s="3"/>
      <c r="M14" s="5">
        <f t="shared" si="1"/>
        <v>1</v>
      </c>
      <c r="N14" s="5">
        <f>IF(B14="","",IF(M14="","",ROUND(M14*'FREQUÊNCIA INDÚSTRIA'!$B$2,1)))</f>
        <v>4</v>
      </c>
    </row>
    <row r="15" ht="15.75" customHeight="1">
      <c r="B15" s="2" t="s">
        <v>33</v>
      </c>
      <c r="C15" s="2" t="s">
        <v>34</v>
      </c>
      <c r="D15" s="2" t="s">
        <v>24</v>
      </c>
      <c r="E15" s="2" t="s">
        <v>25</v>
      </c>
      <c r="G15" s="3" t="s">
        <v>17</v>
      </c>
      <c r="I15" s="3" t="s">
        <v>17</v>
      </c>
      <c r="J15" s="4"/>
      <c r="K15" s="3" t="s">
        <v>17</v>
      </c>
      <c r="M15" s="5">
        <f t="shared" si="1"/>
        <v>3</v>
      </c>
      <c r="N15" s="5">
        <f>IF(B15="","",IF(M15="","",ROUND(M15*'FREQUÊNCIA INDÚSTRIA'!$B$2,1)))</f>
        <v>12</v>
      </c>
    </row>
    <row r="16" ht="15.75" customHeight="1">
      <c r="B16" s="2" t="s">
        <v>13</v>
      </c>
      <c r="C16" s="2" t="s">
        <v>27</v>
      </c>
      <c r="D16" s="2" t="s">
        <v>24</v>
      </c>
      <c r="E16" s="2" t="s">
        <v>25</v>
      </c>
      <c r="F16" s="3" t="s">
        <v>17</v>
      </c>
      <c r="J16" s="4"/>
      <c r="M16" s="5">
        <f t="shared" si="1"/>
        <v>1</v>
      </c>
      <c r="N16" s="5">
        <f>IF(B16="","",IF(M16="","",ROUND(M16*'FREQUÊNCIA INDÚSTRIA'!$B$2,1)))</f>
        <v>4</v>
      </c>
    </row>
    <row r="17" ht="15.75" customHeight="1">
      <c r="B17" s="2" t="s">
        <v>13</v>
      </c>
      <c r="C17" s="2" t="s">
        <v>30</v>
      </c>
      <c r="D17" s="2" t="s">
        <v>24</v>
      </c>
      <c r="E17" s="2" t="s">
        <v>25</v>
      </c>
      <c r="F17" s="3" t="s">
        <v>17</v>
      </c>
      <c r="J17" s="4"/>
      <c r="M17" s="5">
        <f t="shared" si="1"/>
        <v>1</v>
      </c>
      <c r="N17" s="5">
        <f>IF(B17="","",IF(M17="","",ROUND(M17*'FREQUÊNCIA INDÚSTRIA'!$B$2,1)))</f>
        <v>4</v>
      </c>
    </row>
    <row r="18" ht="15.75" customHeight="1">
      <c r="B18" s="2" t="s">
        <v>35</v>
      </c>
      <c r="C18" s="2" t="s">
        <v>30</v>
      </c>
      <c r="D18" s="2" t="s">
        <v>24</v>
      </c>
      <c r="E18" s="2" t="s">
        <v>25</v>
      </c>
      <c r="F18" s="3" t="s">
        <v>17</v>
      </c>
      <c r="H18" s="3" t="s">
        <v>17</v>
      </c>
      <c r="J18" s="3" t="s">
        <v>17</v>
      </c>
      <c r="M18" s="5">
        <f t="shared" si="1"/>
        <v>3</v>
      </c>
      <c r="N18" s="5">
        <f>IF(B18="","",IF(M18="","",ROUND(M18*'FREQUÊNCIA INDÚSTRIA'!$B$2,1)))</f>
        <v>12</v>
      </c>
    </row>
    <row r="19" ht="15.75" customHeight="1">
      <c r="B19" s="2" t="s">
        <v>35</v>
      </c>
      <c r="C19" s="2" t="s">
        <v>31</v>
      </c>
      <c r="D19" s="2" t="s">
        <v>24</v>
      </c>
      <c r="E19" s="2" t="s">
        <v>25</v>
      </c>
      <c r="F19" s="3" t="s">
        <v>17</v>
      </c>
      <c r="H19" s="3" t="s">
        <v>17</v>
      </c>
      <c r="J19" s="3" t="s">
        <v>17</v>
      </c>
      <c r="M19" s="5">
        <f t="shared" si="1"/>
        <v>3</v>
      </c>
      <c r="N19" s="5">
        <f>IF(B19="","",IF(M19="","",ROUND(M19*'FREQUÊNCIA INDÚSTRIA'!$B$2,1)))</f>
        <v>12</v>
      </c>
    </row>
    <row r="20" ht="15.75" customHeight="1">
      <c r="B20" s="2" t="s">
        <v>35</v>
      </c>
      <c r="C20" s="2" t="s">
        <v>27</v>
      </c>
      <c r="D20" s="2" t="s">
        <v>24</v>
      </c>
      <c r="E20" s="2" t="s">
        <v>25</v>
      </c>
      <c r="F20" s="3" t="s">
        <v>17</v>
      </c>
      <c r="H20" s="3" t="s">
        <v>17</v>
      </c>
      <c r="J20" s="3" t="s">
        <v>17</v>
      </c>
      <c r="M20" s="5">
        <f t="shared" si="1"/>
        <v>3</v>
      </c>
      <c r="N20" s="5">
        <f>IF(B20="","",IF(M20="","",ROUND(M20*'FREQUÊNCIA INDÚSTRIA'!$B$2,1)))</f>
        <v>12</v>
      </c>
    </row>
    <row r="21" ht="15.75" customHeight="1">
      <c r="B21" s="2" t="s">
        <v>36</v>
      </c>
      <c r="C21" s="2" t="s">
        <v>26</v>
      </c>
      <c r="D21" s="2" t="s">
        <v>24</v>
      </c>
      <c r="E21" s="2" t="s">
        <v>25</v>
      </c>
      <c r="G21" s="3" t="s">
        <v>17</v>
      </c>
      <c r="J21" s="4"/>
      <c r="M21" s="5">
        <f t="shared" si="1"/>
        <v>1</v>
      </c>
      <c r="N21" s="5">
        <f>IF(B21="","",IF(M21="","",ROUND(M21*'FREQUÊNCIA INDÚSTRIA'!$B$2,1)))</f>
        <v>4</v>
      </c>
    </row>
    <row r="22" ht="15.75" customHeight="1">
      <c r="B22" s="2" t="s">
        <v>36</v>
      </c>
      <c r="C22" s="6" t="s">
        <v>37</v>
      </c>
      <c r="D22" s="2" t="s">
        <v>24</v>
      </c>
      <c r="E22" s="2" t="s">
        <v>25</v>
      </c>
      <c r="I22" s="3" t="s">
        <v>17</v>
      </c>
      <c r="J22" s="4"/>
      <c r="M22" s="5">
        <f t="shared" si="1"/>
        <v>1</v>
      </c>
      <c r="N22" s="5">
        <f>IF(B22="","",IF(M22="","",ROUND(M22*'FREQUÊNCIA INDÚSTRIA'!$B$2,1)))</f>
        <v>4</v>
      </c>
    </row>
    <row r="23" ht="15.75" customHeight="1">
      <c r="B23" s="2" t="s">
        <v>36</v>
      </c>
      <c r="C23" s="2" t="s">
        <v>38</v>
      </c>
      <c r="D23" s="2" t="s">
        <v>24</v>
      </c>
      <c r="E23" s="2" t="s">
        <v>25</v>
      </c>
      <c r="J23" s="4"/>
      <c r="K23" s="3" t="s">
        <v>17</v>
      </c>
      <c r="M23" s="5">
        <f t="shared" si="1"/>
        <v>1</v>
      </c>
      <c r="N23" s="5">
        <f>IF(B23="","",IF(M23="","",ROUND(M23*'FREQUÊNCIA INDÚSTRIA'!$B$2,1)))</f>
        <v>4</v>
      </c>
    </row>
    <row r="24" ht="15.75" customHeight="1">
      <c r="B24" s="2" t="s">
        <v>36</v>
      </c>
      <c r="C24" s="2" t="s">
        <v>39</v>
      </c>
      <c r="D24" s="2" t="s">
        <v>24</v>
      </c>
      <c r="E24" s="2" t="s">
        <v>25</v>
      </c>
      <c r="I24" s="3" t="s">
        <v>17</v>
      </c>
      <c r="J24" s="4"/>
      <c r="M24" s="5">
        <f t="shared" si="1"/>
        <v>1</v>
      </c>
      <c r="N24" s="5">
        <f>IF(B24="","",IF(M24="","",ROUND(M24*'FREQUÊNCIA INDÚSTRIA'!$B$2,1)))</f>
        <v>4</v>
      </c>
    </row>
    <row r="25" ht="15.75" customHeight="1">
      <c r="B25" s="2" t="s">
        <v>40</v>
      </c>
      <c r="C25" s="2" t="s">
        <v>34</v>
      </c>
      <c r="D25" s="2" t="s">
        <v>24</v>
      </c>
      <c r="E25" s="2" t="s">
        <v>25</v>
      </c>
      <c r="I25" s="3" t="s">
        <v>17</v>
      </c>
      <c r="J25" s="3"/>
      <c r="M25" s="5">
        <f t="shared" si="1"/>
        <v>1</v>
      </c>
      <c r="N25" s="5">
        <f>IF(B25="","",IF(M25="","",ROUND(M25*'FREQUÊNCIA INDÚSTRIA'!$B$2,1)))</f>
        <v>4</v>
      </c>
    </row>
    <row r="26" ht="15.75" customHeight="1">
      <c r="B26" s="2" t="s">
        <v>40</v>
      </c>
      <c r="C26" s="6" t="s">
        <v>41</v>
      </c>
      <c r="D26" s="2" t="s">
        <v>24</v>
      </c>
      <c r="E26" s="2" t="s">
        <v>25</v>
      </c>
      <c r="J26" s="3" t="s">
        <v>17</v>
      </c>
      <c r="M26" s="5">
        <f t="shared" si="1"/>
        <v>1</v>
      </c>
      <c r="N26" s="5">
        <f>IF(B26="","",IF(M26="","",ROUND(M26*'FREQUÊNCIA INDÚSTRIA'!$B$2,1)))</f>
        <v>4</v>
      </c>
    </row>
    <row r="27" ht="15.75" customHeight="1">
      <c r="B27" s="2" t="s">
        <v>42</v>
      </c>
      <c r="C27" s="2" t="s">
        <v>29</v>
      </c>
      <c r="D27" s="2" t="s">
        <v>24</v>
      </c>
      <c r="E27" s="2" t="s">
        <v>25</v>
      </c>
      <c r="G27" s="3" t="s">
        <v>17</v>
      </c>
      <c r="J27" s="4"/>
      <c r="M27" s="5">
        <f t="shared" si="1"/>
        <v>1</v>
      </c>
      <c r="N27" s="5">
        <f>IF(B27="","",IF(M27="","",ROUND(M27*'FREQUÊNCIA INDÚSTRIA'!$B$2,1)))</f>
        <v>4</v>
      </c>
    </row>
    <row r="28" ht="15.75" customHeight="1">
      <c r="B28" s="2" t="s">
        <v>43</v>
      </c>
      <c r="C28" s="2" t="s">
        <v>44</v>
      </c>
      <c r="D28" s="2" t="s">
        <v>24</v>
      </c>
      <c r="E28" s="2" t="s">
        <v>45</v>
      </c>
      <c r="F28" s="3"/>
      <c r="I28" s="3" t="s">
        <v>17</v>
      </c>
      <c r="J28" s="4"/>
      <c r="M28" s="5">
        <f t="shared" si="1"/>
        <v>1</v>
      </c>
      <c r="N28" s="5">
        <f>IF(B28="","",IF(M28="","",ROUND(M28*'FREQUÊNCIA INDÚSTRIA'!$B$2,1)))</f>
        <v>4</v>
      </c>
    </row>
    <row r="29" ht="15.75" customHeight="1">
      <c r="B29" s="6" t="s">
        <v>22</v>
      </c>
      <c r="C29" s="6" t="s">
        <v>46</v>
      </c>
      <c r="D29" s="2" t="s">
        <v>24</v>
      </c>
      <c r="E29" s="2" t="s">
        <v>45</v>
      </c>
      <c r="F29" s="3" t="s">
        <v>17</v>
      </c>
      <c r="J29" s="4"/>
      <c r="M29" s="5">
        <f t="shared" si="1"/>
        <v>1</v>
      </c>
      <c r="N29" s="5">
        <f>IF(B29="","",IF(M29="","",ROUND(M29*'FREQUÊNCIA INDÚSTRIA'!$B$2,1)))</f>
        <v>4</v>
      </c>
    </row>
    <row r="30" ht="15.75" customHeight="1">
      <c r="B30" s="6" t="s">
        <v>28</v>
      </c>
      <c r="C30" s="6" t="s">
        <v>47</v>
      </c>
      <c r="D30" s="2" t="s">
        <v>24</v>
      </c>
      <c r="E30" s="2" t="s">
        <v>45</v>
      </c>
      <c r="G30" s="3" t="s">
        <v>17</v>
      </c>
      <c r="I30" s="3" t="s">
        <v>17</v>
      </c>
      <c r="J30" s="4"/>
      <c r="K30" s="3" t="s">
        <v>17</v>
      </c>
      <c r="M30" s="5">
        <f t="shared" si="1"/>
        <v>3</v>
      </c>
      <c r="N30" s="5">
        <f>IF(B30="","",IF(M30="","",ROUND(M30*'FREQUÊNCIA INDÚSTRIA'!$B$2,1)))</f>
        <v>12</v>
      </c>
    </row>
    <row r="31" ht="15.75" customHeight="1">
      <c r="B31" s="6" t="s">
        <v>28</v>
      </c>
      <c r="C31" s="6" t="s">
        <v>48</v>
      </c>
      <c r="D31" s="2" t="s">
        <v>24</v>
      </c>
      <c r="E31" s="2" t="s">
        <v>45</v>
      </c>
      <c r="F31" s="3" t="s">
        <v>17</v>
      </c>
      <c r="H31" s="3" t="s">
        <v>17</v>
      </c>
      <c r="J31" s="3" t="s">
        <v>17</v>
      </c>
      <c r="M31" s="5">
        <f t="shared" si="1"/>
        <v>3</v>
      </c>
      <c r="N31" s="5">
        <f>IF(B31="","",IF(M31="","",ROUND(M31*'FREQUÊNCIA INDÚSTRIA'!$B$2,1)))</f>
        <v>12</v>
      </c>
    </row>
    <row r="32" ht="15.75" customHeight="1">
      <c r="B32" s="6" t="s">
        <v>28</v>
      </c>
      <c r="C32" s="6" t="s">
        <v>49</v>
      </c>
      <c r="D32" s="2" t="s">
        <v>24</v>
      </c>
      <c r="E32" s="2" t="s">
        <v>45</v>
      </c>
      <c r="J32" s="3" t="s">
        <v>17</v>
      </c>
      <c r="M32" s="5">
        <f t="shared" si="1"/>
        <v>1</v>
      </c>
      <c r="N32" s="5">
        <f>IF(B32="","",IF(M32="","",ROUND(M32*'FREQUÊNCIA INDÚSTRIA'!$B$2,1)))</f>
        <v>4</v>
      </c>
    </row>
    <row r="33" ht="15.75" customHeight="1">
      <c r="B33" s="6" t="s">
        <v>28</v>
      </c>
      <c r="C33" s="6" t="s">
        <v>44</v>
      </c>
      <c r="D33" s="2" t="s">
        <v>24</v>
      </c>
      <c r="E33" s="2" t="s">
        <v>45</v>
      </c>
      <c r="I33" s="3" t="s">
        <v>17</v>
      </c>
      <c r="J33" s="4"/>
      <c r="M33" s="5">
        <f t="shared" si="1"/>
        <v>1</v>
      </c>
      <c r="N33" s="5">
        <f>IF(B33="","",IF(M33="","",ROUND(M33*'FREQUÊNCIA INDÚSTRIA'!$B$2,1)))</f>
        <v>4</v>
      </c>
    </row>
    <row r="34" ht="15.75" customHeight="1">
      <c r="B34" s="2" t="s">
        <v>33</v>
      </c>
      <c r="C34" s="6" t="s">
        <v>50</v>
      </c>
      <c r="D34" s="2" t="s">
        <v>24</v>
      </c>
      <c r="E34" s="2" t="s">
        <v>45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M34" s="5">
        <f t="shared" si="1"/>
        <v>6</v>
      </c>
      <c r="N34" s="5">
        <f>IF(B34="","",IF(M34="","",ROUND(M34*'FREQUÊNCIA INDÚSTRIA'!$B$2,1)))</f>
        <v>24</v>
      </c>
    </row>
    <row r="35" ht="15.75" customHeight="1">
      <c r="B35" s="2" t="s">
        <v>33</v>
      </c>
      <c r="C35" s="2" t="s">
        <v>51</v>
      </c>
      <c r="D35" s="2" t="s">
        <v>24</v>
      </c>
      <c r="E35" s="2" t="s">
        <v>45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M35" s="5">
        <f t="shared" si="1"/>
        <v>6</v>
      </c>
      <c r="N35" s="5">
        <f>IF(B35="","",IF(M35="","",ROUND(M35*'FREQUÊNCIA INDÚSTRIA'!$B$2,1)))</f>
        <v>24</v>
      </c>
    </row>
    <row r="36" ht="15.75" customHeight="1">
      <c r="B36" s="2" t="s">
        <v>33</v>
      </c>
      <c r="C36" s="2" t="s">
        <v>52</v>
      </c>
      <c r="D36" s="2" t="s">
        <v>24</v>
      </c>
      <c r="E36" s="2" t="s">
        <v>45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M36" s="5">
        <f t="shared" si="1"/>
        <v>5</v>
      </c>
      <c r="N36" s="5">
        <f>IF(B36="","",IF(M36="","",ROUND(M36*'FREQUÊNCIA INDÚSTRIA'!$B$2,1)))</f>
        <v>20</v>
      </c>
    </row>
    <row r="37" ht="15.75" customHeight="1">
      <c r="B37" s="2" t="s">
        <v>13</v>
      </c>
      <c r="C37" s="6" t="s">
        <v>47</v>
      </c>
      <c r="D37" s="2" t="s">
        <v>24</v>
      </c>
      <c r="E37" s="2" t="s">
        <v>45</v>
      </c>
      <c r="G37" s="3" t="s">
        <v>17</v>
      </c>
      <c r="J37" s="4"/>
      <c r="M37" s="5">
        <f t="shared" si="1"/>
        <v>1</v>
      </c>
      <c r="N37" s="5">
        <f>IF(B37="","",IF(M37="","",ROUND(M37*'FREQUÊNCIA INDÚSTRIA'!$B$2,1)))</f>
        <v>4</v>
      </c>
    </row>
    <row r="38" ht="15.75" customHeight="1">
      <c r="B38" s="2" t="s">
        <v>13</v>
      </c>
      <c r="C38" s="6" t="s">
        <v>49</v>
      </c>
      <c r="D38" s="2" t="s">
        <v>24</v>
      </c>
      <c r="E38" s="2" t="s">
        <v>45</v>
      </c>
      <c r="G38" s="3" t="s">
        <v>17</v>
      </c>
      <c r="J38" s="4"/>
      <c r="M38" s="5">
        <f t="shared" si="1"/>
        <v>1</v>
      </c>
      <c r="N38" s="5">
        <f>IF(B38="","",IF(M38="","",ROUND(M38*'FREQUÊNCIA INDÚSTRIA'!$B$2,1)))</f>
        <v>4</v>
      </c>
    </row>
    <row r="39" ht="15.75" customHeight="1">
      <c r="B39" s="2" t="s">
        <v>35</v>
      </c>
      <c r="C39" s="6" t="s">
        <v>47</v>
      </c>
      <c r="D39" s="2" t="s">
        <v>24</v>
      </c>
      <c r="E39" s="2" t="s">
        <v>45</v>
      </c>
      <c r="I39" s="3" t="s">
        <v>17</v>
      </c>
      <c r="J39" s="4"/>
      <c r="M39" s="5">
        <f t="shared" si="1"/>
        <v>1</v>
      </c>
      <c r="N39" s="5">
        <f>IF(B39="","",IF(M39="","",ROUND(M39*'FREQUÊNCIA INDÚSTRIA'!$B$2,1)))</f>
        <v>4</v>
      </c>
    </row>
    <row r="40" ht="15.75" customHeight="1">
      <c r="B40" s="2" t="s">
        <v>35</v>
      </c>
      <c r="C40" s="6" t="s">
        <v>48</v>
      </c>
      <c r="D40" s="2" t="s">
        <v>24</v>
      </c>
      <c r="E40" s="2" t="s">
        <v>45</v>
      </c>
      <c r="I40" s="3" t="s">
        <v>17</v>
      </c>
      <c r="J40" s="4"/>
      <c r="M40" s="5">
        <f t="shared" si="1"/>
        <v>1</v>
      </c>
      <c r="N40" s="5">
        <f>IF(B40="","",IF(M40="","",ROUND(M40*'FREQUÊNCIA INDÚSTRIA'!$B$2,1)))</f>
        <v>4</v>
      </c>
    </row>
    <row r="41" ht="15.75" customHeight="1">
      <c r="B41" s="2" t="s">
        <v>36</v>
      </c>
      <c r="C41" s="6" t="s">
        <v>53</v>
      </c>
      <c r="D41" s="2" t="s">
        <v>24</v>
      </c>
      <c r="E41" s="2" t="s">
        <v>45</v>
      </c>
      <c r="I41" s="3" t="s">
        <v>17</v>
      </c>
      <c r="J41" s="4"/>
      <c r="M41" s="5">
        <f t="shared" si="1"/>
        <v>1</v>
      </c>
      <c r="N41" s="5">
        <f>IF(B41="","",IF(M41="","",ROUND(M41*'FREQUÊNCIA INDÚSTRIA'!$B$2,1)))</f>
        <v>4</v>
      </c>
    </row>
    <row r="42" ht="15.75" customHeight="1">
      <c r="B42" s="2" t="s">
        <v>36</v>
      </c>
      <c r="C42" s="6" t="s">
        <v>54</v>
      </c>
      <c r="D42" s="2" t="s">
        <v>24</v>
      </c>
      <c r="E42" s="2" t="s">
        <v>45</v>
      </c>
      <c r="J42" s="3" t="s">
        <v>17</v>
      </c>
      <c r="M42" s="5">
        <f t="shared" si="1"/>
        <v>1</v>
      </c>
      <c r="N42" s="5">
        <f>IF(B42="","",IF(M42="","",ROUND(M42*'FREQUÊNCIA INDÚSTRIA'!$B$2,1)))</f>
        <v>4</v>
      </c>
    </row>
    <row r="43" ht="15.75" customHeight="1">
      <c r="B43" s="2" t="s">
        <v>36</v>
      </c>
      <c r="C43" s="6" t="s">
        <v>50</v>
      </c>
      <c r="D43" s="2" t="s">
        <v>24</v>
      </c>
      <c r="E43" s="2" t="s">
        <v>45</v>
      </c>
      <c r="J43" s="3" t="s">
        <v>17</v>
      </c>
      <c r="M43" s="5">
        <f t="shared" si="1"/>
        <v>1</v>
      </c>
      <c r="N43" s="5">
        <f>IF(B43="","",IF(M43="","",ROUND(M43*'FREQUÊNCIA INDÚSTRIA'!$B$2,1)))</f>
        <v>4</v>
      </c>
    </row>
    <row r="44" ht="15.75" customHeight="1">
      <c r="B44" s="2" t="s">
        <v>36</v>
      </c>
      <c r="C44" s="2" t="s">
        <v>51</v>
      </c>
      <c r="D44" s="2" t="s">
        <v>24</v>
      </c>
      <c r="E44" s="2" t="s">
        <v>45</v>
      </c>
      <c r="J44" s="3" t="s">
        <v>17</v>
      </c>
      <c r="M44" s="5">
        <f t="shared" si="1"/>
        <v>1</v>
      </c>
      <c r="N44" s="5">
        <f>IF(B44="","",IF(M44="","",ROUND(M44*'FREQUÊNCIA INDÚSTRIA'!$B$2,1)))</f>
        <v>4</v>
      </c>
    </row>
    <row r="45" ht="15.75" customHeight="1">
      <c r="B45" s="2" t="s">
        <v>36</v>
      </c>
      <c r="C45" s="6" t="s">
        <v>55</v>
      </c>
      <c r="D45" s="2" t="s">
        <v>24</v>
      </c>
      <c r="E45" s="2" t="s">
        <v>45</v>
      </c>
      <c r="I45" s="3" t="s">
        <v>17</v>
      </c>
      <c r="J45" s="4"/>
      <c r="M45" s="5">
        <f t="shared" si="1"/>
        <v>1</v>
      </c>
      <c r="N45" s="5">
        <f>IF(B45="","",IF(M45="","",ROUND(M45*'FREQUÊNCIA INDÚSTRIA'!$B$2,1)))</f>
        <v>4</v>
      </c>
    </row>
    <row r="46" ht="15.75" customHeight="1">
      <c r="B46" s="2" t="s">
        <v>56</v>
      </c>
      <c r="C46" s="2" t="s">
        <v>44</v>
      </c>
      <c r="D46" s="2" t="s">
        <v>24</v>
      </c>
      <c r="E46" s="2" t="s">
        <v>45</v>
      </c>
      <c r="I46" s="3" t="s">
        <v>17</v>
      </c>
      <c r="J46" s="4"/>
      <c r="M46" s="5">
        <f t="shared" si="1"/>
        <v>1</v>
      </c>
      <c r="N46" s="5">
        <f>IF(B46="","",IF(M46="","",ROUND(M46*'FREQUÊNCIA INDÚSTRIA'!$B$2,1)))</f>
        <v>4</v>
      </c>
    </row>
    <row r="47" ht="15.75" customHeight="1">
      <c r="B47" s="7" t="s">
        <v>28</v>
      </c>
      <c r="C47" s="7" t="s">
        <v>57</v>
      </c>
      <c r="D47" s="2" t="s">
        <v>58</v>
      </c>
      <c r="E47" s="7" t="s">
        <v>59</v>
      </c>
      <c r="F47" s="7" t="s">
        <v>17</v>
      </c>
      <c r="H47" s="7" t="s">
        <v>17</v>
      </c>
      <c r="J47" s="3" t="s">
        <v>17</v>
      </c>
      <c r="M47" s="5">
        <f t="shared" si="1"/>
        <v>3</v>
      </c>
      <c r="N47" s="5">
        <f>IF(B80="","",IF(M80="","",ROUND(M80*'FREQUÊNCIA INDÚSTRIA'!$B$2,1)))</f>
        <v>4</v>
      </c>
    </row>
    <row r="48" ht="15.75" customHeight="1">
      <c r="B48" s="7" t="s">
        <v>35</v>
      </c>
      <c r="C48" s="7" t="s">
        <v>57</v>
      </c>
      <c r="D48" s="2" t="s">
        <v>58</v>
      </c>
      <c r="E48" s="7" t="s">
        <v>59</v>
      </c>
      <c r="F48" s="7" t="s">
        <v>17</v>
      </c>
      <c r="H48" s="7" t="s">
        <v>17</v>
      </c>
      <c r="J48" s="3" t="s">
        <v>17</v>
      </c>
      <c r="M48" s="5">
        <f t="shared" si="1"/>
        <v>3</v>
      </c>
      <c r="N48" s="5">
        <f>IF(B48="","",IF(M48="","",ROUND(M48*'FREQUÊNCIA INDÚSTRIA'!$B$2,1)))</f>
        <v>12</v>
      </c>
    </row>
    <row r="49" ht="15.75" customHeight="1">
      <c r="B49" s="2" t="s">
        <v>42</v>
      </c>
      <c r="C49" s="2" t="s">
        <v>60</v>
      </c>
      <c r="D49" s="2" t="s">
        <v>58</v>
      </c>
      <c r="E49" s="2" t="s">
        <v>59</v>
      </c>
      <c r="I49" s="3" t="s">
        <v>17</v>
      </c>
      <c r="J49" s="4"/>
      <c r="M49" s="5">
        <f t="shared" si="1"/>
        <v>1</v>
      </c>
      <c r="N49" s="5">
        <f>IF(B49="","",IF(M49="","",ROUND(M49*'FREQUÊNCIA INDÚSTRIA'!$B$2,1)))</f>
        <v>4</v>
      </c>
    </row>
    <row r="50" ht="15.75" customHeight="1">
      <c r="B50" s="2" t="s">
        <v>28</v>
      </c>
      <c r="C50" s="6" t="s">
        <v>61</v>
      </c>
      <c r="D50" s="2" t="s">
        <v>24</v>
      </c>
      <c r="E50" s="2" t="s">
        <v>62</v>
      </c>
      <c r="F50" s="3" t="s">
        <v>17</v>
      </c>
      <c r="J50" s="3" t="s">
        <v>17</v>
      </c>
      <c r="M50" s="5">
        <f t="shared" si="1"/>
        <v>2</v>
      </c>
      <c r="N50" s="5">
        <f>IF(B50="","",IF(M50="","",ROUND(M50*'FREQUÊNCIA INDÚSTRIA'!$B$2,1)))</f>
        <v>8</v>
      </c>
    </row>
    <row r="51" ht="15.75" customHeight="1">
      <c r="B51" s="2" t="s">
        <v>28</v>
      </c>
      <c r="C51" s="6" t="s">
        <v>63</v>
      </c>
      <c r="D51" s="2" t="s">
        <v>24</v>
      </c>
      <c r="E51" s="2" t="s">
        <v>62</v>
      </c>
      <c r="J51" s="4"/>
      <c r="M51" s="5">
        <f t="shared" si="1"/>
        <v>0</v>
      </c>
      <c r="N51" s="5">
        <f>IF(B51="","",IF(M51="","",ROUND(M51*'FREQUÊNCIA INDÚSTRIA'!$B$2,1)))</f>
        <v>0</v>
      </c>
    </row>
    <row r="52" ht="15.75" customHeight="1">
      <c r="B52" s="2" t="s">
        <v>28</v>
      </c>
      <c r="C52" s="6" t="s">
        <v>64</v>
      </c>
      <c r="D52" s="2" t="s">
        <v>24</v>
      </c>
      <c r="E52" s="2" t="s">
        <v>62</v>
      </c>
      <c r="G52" s="3" t="s">
        <v>17</v>
      </c>
      <c r="I52" s="3" t="s">
        <v>17</v>
      </c>
      <c r="J52" s="4"/>
      <c r="K52" s="3" t="s">
        <v>17</v>
      </c>
      <c r="M52" s="5">
        <f t="shared" si="1"/>
        <v>3</v>
      </c>
      <c r="N52" s="5">
        <f>IF(B52="","",IF(M52="","",ROUND(M52*'FREQUÊNCIA INDÚSTRIA'!$B$2,1)))</f>
        <v>12</v>
      </c>
    </row>
    <row r="53" ht="15.75" customHeight="1">
      <c r="B53" s="2" t="s">
        <v>28</v>
      </c>
      <c r="C53" s="6" t="s">
        <v>65</v>
      </c>
      <c r="D53" s="2" t="s">
        <v>24</v>
      </c>
      <c r="E53" s="2" t="s">
        <v>62</v>
      </c>
      <c r="F53" s="3" t="s">
        <v>17</v>
      </c>
      <c r="H53" s="3" t="s">
        <v>17</v>
      </c>
      <c r="J53" s="3" t="s">
        <v>17</v>
      </c>
      <c r="M53" s="5">
        <f t="shared" si="1"/>
        <v>3</v>
      </c>
      <c r="N53" s="5">
        <f>IF(B53="","",IF(M53="","",ROUND(M53*'FREQUÊNCIA INDÚSTRIA'!$B$2,1)))</f>
        <v>12</v>
      </c>
    </row>
    <row r="54" ht="15.75" customHeight="1">
      <c r="B54" s="2" t="s">
        <v>13</v>
      </c>
      <c r="C54" s="6" t="s">
        <v>61</v>
      </c>
      <c r="D54" s="2" t="s">
        <v>24</v>
      </c>
      <c r="E54" s="2" t="s">
        <v>62</v>
      </c>
      <c r="J54" s="3" t="s">
        <v>17</v>
      </c>
      <c r="M54" s="5">
        <f t="shared" si="1"/>
        <v>1</v>
      </c>
      <c r="N54" s="5">
        <f>IF(B54="","",IF(M54="","",ROUND(M54*'FREQUÊNCIA INDÚSTRIA'!$B$2,1)))</f>
        <v>4</v>
      </c>
    </row>
    <row r="55" ht="15.75" customHeight="1">
      <c r="B55" s="2" t="s">
        <v>13</v>
      </c>
      <c r="C55" s="6" t="s">
        <v>63</v>
      </c>
      <c r="D55" s="2" t="s">
        <v>24</v>
      </c>
      <c r="E55" s="2" t="s">
        <v>62</v>
      </c>
      <c r="J55" s="3" t="s">
        <v>17</v>
      </c>
      <c r="M55" s="5">
        <f t="shared" si="1"/>
        <v>1</v>
      </c>
      <c r="N55" s="5">
        <f>IF(B55="","",IF(M55="","",ROUND(M55*'FREQUÊNCIA INDÚSTRIA'!$B$2,1)))</f>
        <v>4</v>
      </c>
    </row>
    <row r="56" ht="15.75" customHeight="1">
      <c r="B56" s="2" t="s">
        <v>35</v>
      </c>
      <c r="C56" s="6" t="s">
        <v>64</v>
      </c>
      <c r="D56" s="2" t="s">
        <v>24</v>
      </c>
      <c r="E56" s="2" t="s">
        <v>62</v>
      </c>
      <c r="G56" s="3" t="s">
        <v>17</v>
      </c>
      <c r="I56" s="3" t="s">
        <v>17</v>
      </c>
      <c r="J56" s="4"/>
      <c r="K56" s="3" t="s">
        <v>17</v>
      </c>
      <c r="M56" s="5">
        <f t="shared" si="1"/>
        <v>3</v>
      </c>
      <c r="N56" s="5">
        <f>IF(B56="","",IF(M56="","",ROUND(M56*'FREQUÊNCIA INDÚSTRIA'!$B$2,1)))</f>
        <v>12</v>
      </c>
    </row>
    <row r="57" ht="15.75" customHeight="1">
      <c r="B57" s="2" t="s">
        <v>42</v>
      </c>
      <c r="C57" s="2" t="s">
        <v>66</v>
      </c>
      <c r="D57" s="2" t="s">
        <v>24</v>
      </c>
      <c r="E57" s="2" t="s">
        <v>62</v>
      </c>
      <c r="H57" s="3" t="s">
        <v>17</v>
      </c>
      <c r="J57" s="4"/>
      <c r="M57" s="5">
        <f t="shared" si="1"/>
        <v>1</v>
      </c>
      <c r="N57" s="5">
        <f>IF(B57="","",IF(M57="","",ROUND(M57*'FREQUÊNCIA INDÚSTRIA'!$B$2,1)))</f>
        <v>4</v>
      </c>
    </row>
    <row r="58" ht="15.75" customHeight="1">
      <c r="B58" s="6" t="s">
        <v>13</v>
      </c>
      <c r="C58" s="2" t="s">
        <v>67</v>
      </c>
      <c r="D58" s="2" t="s">
        <v>24</v>
      </c>
      <c r="E58" s="2" t="s">
        <v>68</v>
      </c>
      <c r="G58" s="3" t="s">
        <v>17</v>
      </c>
      <c r="I58" s="3"/>
      <c r="J58" s="4"/>
      <c r="M58" s="5">
        <f t="shared" si="1"/>
        <v>1</v>
      </c>
      <c r="N58" s="5">
        <f>IF(B58="","",IF(M58="","",ROUND(M58*'FREQUÊNCIA INDÚSTRIA'!$B$2,1)))</f>
        <v>4</v>
      </c>
    </row>
    <row r="59" ht="15.75" customHeight="1">
      <c r="B59" s="8" t="s">
        <v>43</v>
      </c>
      <c r="C59" s="8" t="s">
        <v>69</v>
      </c>
      <c r="D59" s="8" t="s">
        <v>24</v>
      </c>
      <c r="E59" s="8" t="s">
        <v>70</v>
      </c>
      <c r="F59" s="3" t="s">
        <v>17</v>
      </c>
      <c r="H59" s="3"/>
      <c r="J59" s="4"/>
      <c r="M59" s="5">
        <f t="shared" si="1"/>
        <v>1</v>
      </c>
      <c r="N59" s="5">
        <f>IF(B59="","",IF(M59="","",ROUND(M59*'FREQUÊNCIA INDÚSTRIA'!$B$2,1)))</f>
        <v>4</v>
      </c>
    </row>
    <row r="60" ht="15.75" customHeight="1">
      <c r="B60" s="6" t="s">
        <v>22</v>
      </c>
      <c r="C60" s="2" t="s">
        <v>71</v>
      </c>
      <c r="D60" s="2" t="s">
        <v>24</v>
      </c>
      <c r="E60" s="2" t="s">
        <v>70</v>
      </c>
      <c r="H60" s="3" t="s">
        <v>17</v>
      </c>
      <c r="J60" s="4"/>
      <c r="M60" s="5">
        <f t="shared" si="1"/>
        <v>1</v>
      </c>
      <c r="N60" s="5">
        <f>IF(B60="","",IF(M60="","",ROUND(M60*'FREQUÊNCIA INDÚSTRIA'!$B$2,1)))</f>
        <v>4</v>
      </c>
    </row>
    <row r="61" ht="15.75" customHeight="1">
      <c r="B61" s="6" t="s">
        <v>28</v>
      </c>
      <c r="C61" s="2" t="s">
        <v>67</v>
      </c>
      <c r="D61" s="2" t="s">
        <v>24</v>
      </c>
      <c r="E61" s="2" t="s">
        <v>70</v>
      </c>
      <c r="G61" s="3"/>
      <c r="J61" s="4"/>
      <c r="K61" s="3" t="s">
        <v>17</v>
      </c>
      <c r="M61" s="5">
        <f t="shared" si="1"/>
        <v>1</v>
      </c>
      <c r="N61" s="5">
        <f>IF(B61="","",IF(M61="","",ROUND(M61*'FREQUÊNCIA INDÚSTRIA'!$B$2,1)))</f>
        <v>4</v>
      </c>
    </row>
    <row r="62" ht="15.75" customHeight="1">
      <c r="B62" s="6" t="s">
        <v>28</v>
      </c>
      <c r="C62" s="2" t="s">
        <v>69</v>
      </c>
      <c r="D62" s="2" t="s">
        <v>24</v>
      </c>
      <c r="E62" s="2" t="s">
        <v>70</v>
      </c>
      <c r="G62" s="3" t="s">
        <v>17</v>
      </c>
      <c r="I62" s="3"/>
      <c r="J62" s="4"/>
      <c r="M62" s="5">
        <f t="shared" si="1"/>
        <v>1</v>
      </c>
      <c r="N62" s="5">
        <f>IF(B62="","",IF(M62="","",ROUND(M62*'FREQUÊNCIA INDÚSTRIA'!$B$2,1)))</f>
        <v>4</v>
      </c>
    </row>
    <row r="63" ht="15.75" customHeight="1">
      <c r="B63" s="6" t="s">
        <v>13</v>
      </c>
      <c r="C63" s="2" t="s">
        <v>69</v>
      </c>
      <c r="D63" s="2" t="s">
        <v>24</v>
      </c>
      <c r="E63" s="2" t="s">
        <v>70</v>
      </c>
      <c r="I63" s="3" t="s">
        <v>17</v>
      </c>
      <c r="J63" s="4"/>
      <c r="M63" s="5">
        <f t="shared" si="1"/>
        <v>1</v>
      </c>
      <c r="N63" s="5">
        <f>IF(B63="","",IF(M63="","",ROUND(M63*'FREQUÊNCIA INDÚSTRIA'!$B$2,1)))</f>
        <v>4</v>
      </c>
    </row>
    <row r="64" ht="15.75" customHeight="1">
      <c r="B64" s="6" t="s">
        <v>36</v>
      </c>
      <c r="C64" s="2" t="s">
        <v>72</v>
      </c>
      <c r="D64" s="2" t="s">
        <v>24</v>
      </c>
      <c r="E64" s="2" t="s">
        <v>70</v>
      </c>
      <c r="G64" s="3" t="s">
        <v>17</v>
      </c>
      <c r="J64" s="4"/>
      <c r="M64" s="5">
        <f t="shared" si="1"/>
        <v>1</v>
      </c>
      <c r="N64" s="5">
        <f>IF(B64="","",IF(M64="","",ROUND(M64*'FREQUÊNCIA INDÚSTRIA'!$B$2,1)))</f>
        <v>4</v>
      </c>
    </row>
    <row r="65" ht="15.75" customHeight="1">
      <c r="B65" s="6" t="s">
        <v>73</v>
      </c>
      <c r="C65" s="2" t="s">
        <v>72</v>
      </c>
      <c r="D65" s="2" t="s">
        <v>24</v>
      </c>
      <c r="E65" s="2" t="s">
        <v>70</v>
      </c>
      <c r="I65" s="3" t="s">
        <v>17</v>
      </c>
      <c r="J65" s="4"/>
      <c r="M65" s="5">
        <f t="shared" si="1"/>
        <v>1</v>
      </c>
      <c r="N65" s="5">
        <f>IF(B65="","",IF(M65="","",ROUND(M65*'FREQUÊNCIA INDÚSTRIA'!$B$2,1)))</f>
        <v>4</v>
      </c>
    </row>
    <row r="66" ht="15.75" customHeight="1">
      <c r="B66" s="2" t="s">
        <v>42</v>
      </c>
      <c r="C66" s="2" t="s">
        <v>74</v>
      </c>
      <c r="D66" s="2" t="s">
        <v>24</v>
      </c>
      <c r="E66" s="2" t="s">
        <v>70</v>
      </c>
      <c r="G66" s="3" t="s">
        <v>17</v>
      </c>
      <c r="J66" s="4"/>
      <c r="M66" s="5">
        <f t="shared" si="1"/>
        <v>1</v>
      </c>
      <c r="N66" s="5">
        <f>IF(B66="","",IF(M66="","",ROUND(M66*'FREQUÊNCIA INDÚSTRIA'!$B$2,1)))</f>
        <v>4</v>
      </c>
    </row>
    <row r="67" ht="15.75" customHeight="1">
      <c r="B67" s="2" t="s">
        <v>42</v>
      </c>
      <c r="C67" s="2" t="s">
        <v>67</v>
      </c>
      <c r="D67" s="2" t="s">
        <v>24</v>
      </c>
      <c r="E67" s="2" t="s">
        <v>70</v>
      </c>
      <c r="H67" s="3" t="s">
        <v>17</v>
      </c>
      <c r="J67" s="4"/>
      <c r="M67" s="5">
        <f t="shared" si="1"/>
        <v>1</v>
      </c>
      <c r="N67" s="5">
        <f>IF(B67="","",IF(M67="","",ROUND(M67*'FREQUÊNCIA INDÚSTRIA'!$B$2,1)))</f>
        <v>4</v>
      </c>
    </row>
    <row r="68" ht="15.75" customHeight="1">
      <c r="B68" s="2" t="s">
        <v>56</v>
      </c>
      <c r="C68" s="2" t="s">
        <v>69</v>
      </c>
      <c r="D68" s="2" t="s">
        <v>24</v>
      </c>
      <c r="E68" s="2" t="s">
        <v>70</v>
      </c>
      <c r="J68" s="3" t="s">
        <v>17</v>
      </c>
      <c r="M68" s="5">
        <f t="shared" si="1"/>
        <v>1</v>
      </c>
      <c r="N68" s="5">
        <f>IF(B68="","",IF(M68="","",ROUND(M68*'FREQUÊNCIA INDÚSTRIA'!$B$2,1)))</f>
        <v>4</v>
      </c>
    </row>
    <row r="69" ht="15.75" customHeight="1">
      <c r="B69" s="2" t="s">
        <v>43</v>
      </c>
      <c r="C69" s="2" t="s">
        <v>49</v>
      </c>
      <c r="D69" s="2" t="s">
        <v>24</v>
      </c>
      <c r="E69" s="2" t="s">
        <v>75</v>
      </c>
      <c r="G69" s="7"/>
      <c r="I69" s="3" t="s">
        <v>17</v>
      </c>
      <c r="J69" s="4"/>
      <c r="M69" s="5">
        <f t="shared" si="1"/>
        <v>1</v>
      </c>
      <c r="N69" s="5">
        <f>IF(B69="","",IF(M69="","",ROUND(M69*'FREQUÊNCIA INDÚSTRIA'!$B$2,1)))</f>
        <v>4</v>
      </c>
    </row>
    <row r="70" ht="15.75" customHeight="1">
      <c r="B70" s="2" t="s">
        <v>43</v>
      </c>
      <c r="C70" s="2" t="s">
        <v>76</v>
      </c>
      <c r="D70" s="2" t="s">
        <v>24</v>
      </c>
      <c r="E70" s="2" t="s">
        <v>75</v>
      </c>
      <c r="G70" s="7"/>
      <c r="H70" s="3" t="s">
        <v>17</v>
      </c>
      <c r="I70" s="7"/>
      <c r="J70" s="4"/>
      <c r="M70" s="5">
        <f t="shared" si="1"/>
        <v>1</v>
      </c>
      <c r="N70" s="5">
        <f>IF(B70="","",IF(M70="","",ROUND(M70*'FREQUÊNCIA INDÚSTRIA'!$B$2,1)))</f>
        <v>4</v>
      </c>
    </row>
    <row r="71" ht="15.75" customHeight="1">
      <c r="B71" s="2" t="s">
        <v>33</v>
      </c>
      <c r="C71" s="2" t="s">
        <v>77</v>
      </c>
      <c r="D71" s="2" t="s">
        <v>24</v>
      </c>
      <c r="E71" s="2" t="s">
        <v>75</v>
      </c>
      <c r="G71" s="7" t="s">
        <v>17</v>
      </c>
      <c r="I71" s="7" t="s">
        <v>17</v>
      </c>
      <c r="J71" s="4"/>
      <c r="M71" s="5">
        <f t="shared" si="1"/>
        <v>2</v>
      </c>
      <c r="N71" s="5">
        <f>IF(B71="","",IF(M71="","",ROUND(M71*'FREQUÊNCIA INDÚSTRIA'!$B$2,1)))</f>
        <v>8</v>
      </c>
    </row>
    <row r="72" ht="15.75" customHeight="1">
      <c r="B72" s="2" t="s">
        <v>33</v>
      </c>
      <c r="C72" s="2" t="s">
        <v>78</v>
      </c>
      <c r="D72" s="2" t="s">
        <v>24</v>
      </c>
      <c r="E72" s="2" t="s">
        <v>75</v>
      </c>
      <c r="F72" s="7" t="s">
        <v>17</v>
      </c>
      <c r="G72" s="7"/>
      <c r="H72" s="7" t="s">
        <v>17</v>
      </c>
      <c r="I72" s="7"/>
      <c r="J72" s="3" t="s">
        <v>17</v>
      </c>
      <c r="M72" s="5">
        <f t="shared" si="1"/>
        <v>3</v>
      </c>
      <c r="N72" s="5">
        <f>IF(B72="","",IF(M72="","",ROUND(M72*'FREQUÊNCIA INDÚSTRIA'!$B$2,1)))</f>
        <v>12</v>
      </c>
    </row>
    <row r="73" ht="15.75" customHeight="1">
      <c r="B73" s="2" t="s">
        <v>36</v>
      </c>
      <c r="C73" s="2" t="s">
        <v>79</v>
      </c>
      <c r="D73" s="2" t="s">
        <v>24</v>
      </c>
      <c r="E73" s="2" t="s">
        <v>75</v>
      </c>
      <c r="I73" s="7" t="s">
        <v>17</v>
      </c>
      <c r="J73" s="4"/>
      <c r="M73" s="5">
        <f t="shared" si="1"/>
        <v>1</v>
      </c>
      <c r="N73" s="5">
        <f>IF(B73="","",IF(M73="","",ROUND(M73*'FREQUÊNCIA INDÚSTRIA'!$B$2,1)))</f>
        <v>4</v>
      </c>
    </row>
    <row r="74" ht="15.75" customHeight="1">
      <c r="B74" s="2" t="s">
        <v>36</v>
      </c>
      <c r="C74" s="2" t="s">
        <v>80</v>
      </c>
      <c r="D74" s="2" t="s">
        <v>24</v>
      </c>
      <c r="E74" s="2" t="s">
        <v>75</v>
      </c>
      <c r="J74" s="3" t="s">
        <v>17</v>
      </c>
      <c r="M74" s="5">
        <f t="shared" si="1"/>
        <v>1</v>
      </c>
      <c r="N74" s="5">
        <f>IF(B74="","",IF(M74="","",ROUND(M74*'FREQUÊNCIA INDÚSTRIA'!$B$2,1)))</f>
        <v>4</v>
      </c>
    </row>
    <row r="75" ht="15.75" customHeight="1">
      <c r="B75" s="2" t="s">
        <v>73</v>
      </c>
      <c r="C75" s="2" t="s">
        <v>79</v>
      </c>
      <c r="D75" s="2" t="s">
        <v>24</v>
      </c>
      <c r="E75" s="2" t="s">
        <v>75</v>
      </c>
      <c r="I75" s="7" t="s">
        <v>17</v>
      </c>
      <c r="J75" s="4"/>
      <c r="M75" s="5">
        <f t="shared" si="1"/>
        <v>1</v>
      </c>
      <c r="N75" s="5">
        <f>IF(B75="","",IF(M75="","",ROUND(M75*'FREQUÊNCIA INDÚSTRIA'!$B$2,1)))</f>
        <v>4</v>
      </c>
    </row>
    <row r="76" ht="15.75" customHeight="1">
      <c r="B76" s="2" t="s">
        <v>40</v>
      </c>
      <c r="C76" s="2" t="s">
        <v>78</v>
      </c>
      <c r="D76" s="2" t="s">
        <v>24</v>
      </c>
      <c r="E76" s="2" t="s">
        <v>75</v>
      </c>
      <c r="G76" s="7" t="s">
        <v>17</v>
      </c>
      <c r="J76" s="4"/>
      <c r="M76" s="5">
        <f t="shared" si="1"/>
        <v>1</v>
      </c>
      <c r="N76" s="5">
        <f>IF(B76="","",IF(M76="","",ROUND(M76*'FREQUÊNCIA INDÚSTRIA'!$B$2,1)))</f>
        <v>4</v>
      </c>
    </row>
    <row r="77" ht="15.75" customHeight="1">
      <c r="B77" s="2" t="s">
        <v>40</v>
      </c>
      <c r="C77" s="2" t="s">
        <v>81</v>
      </c>
      <c r="D77" s="2" t="s">
        <v>24</v>
      </c>
      <c r="E77" s="2" t="s">
        <v>75</v>
      </c>
      <c r="G77" s="7" t="s">
        <v>17</v>
      </c>
      <c r="J77" s="4"/>
      <c r="M77" s="5">
        <f t="shared" si="1"/>
        <v>1</v>
      </c>
      <c r="N77" s="5">
        <f>IF(B77="","",IF(M77="","",ROUND(M77*'FREQUÊNCIA INDÚSTRIA'!$B$2,1)))</f>
        <v>4</v>
      </c>
    </row>
    <row r="78" ht="15.75" customHeight="1">
      <c r="B78" s="2" t="s">
        <v>40</v>
      </c>
      <c r="C78" s="2" t="s">
        <v>82</v>
      </c>
      <c r="D78" s="2" t="s">
        <v>24</v>
      </c>
      <c r="E78" s="2" t="s">
        <v>75</v>
      </c>
      <c r="G78" s="7" t="s">
        <v>17</v>
      </c>
      <c r="J78" s="4"/>
      <c r="M78" s="5">
        <f t="shared" si="1"/>
        <v>1</v>
      </c>
      <c r="N78" s="5">
        <f>IF(B78="","",IF(M78="","",ROUND(M78*'FREQUÊNCIA INDÚSTRIA'!$B$2,1)))</f>
        <v>4</v>
      </c>
    </row>
    <row r="79" ht="15.75" customHeight="1">
      <c r="B79" s="2" t="s">
        <v>35</v>
      </c>
      <c r="C79" s="2" t="s">
        <v>47</v>
      </c>
      <c r="D79" s="2" t="s">
        <v>24</v>
      </c>
      <c r="E79" s="2" t="s">
        <v>75</v>
      </c>
      <c r="H79" s="7" t="s">
        <v>17</v>
      </c>
      <c r="J79" s="4"/>
      <c r="M79" s="5">
        <f t="shared" si="1"/>
        <v>1</v>
      </c>
      <c r="N79" s="5">
        <f>IF(B79="","",IF(M79="","",ROUND(M79*'FREQUÊNCIA INDÚSTRIA'!$B$2,1)))</f>
        <v>4</v>
      </c>
    </row>
    <row r="80" ht="15.75" customHeight="1">
      <c r="B80" s="2" t="s">
        <v>83</v>
      </c>
      <c r="C80" s="2" t="s">
        <v>47</v>
      </c>
      <c r="D80" s="2" t="s">
        <v>24</v>
      </c>
      <c r="E80" s="2" t="s">
        <v>75</v>
      </c>
      <c r="H80" s="7" t="s">
        <v>17</v>
      </c>
      <c r="J80" s="4"/>
      <c r="M80" s="5">
        <f t="shared" si="1"/>
        <v>1</v>
      </c>
      <c r="N80" s="5">
        <f>IF(B80="","",IF(M80="","",ROUND(M80*'FREQUÊNCIA INDÚSTRIA'!$B$2,1)))</f>
        <v>4</v>
      </c>
    </row>
    <row r="81" ht="15.75" customHeight="1">
      <c r="B81" s="2" t="s">
        <v>56</v>
      </c>
      <c r="C81" s="2" t="s">
        <v>49</v>
      </c>
      <c r="D81" s="2" t="s">
        <v>24</v>
      </c>
      <c r="E81" s="2" t="s">
        <v>75</v>
      </c>
      <c r="H81" s="3"/>
      <c r="J81" s="3" t="s">
        <v>17</v>
      </c>
      <c r="M81" s="5">
        <f t="shared" si="1"/>
        <v>1</v>
      </c>
      <c r="N81" s="5">
        <f>IF(B81="","",IF(M81="","",ROUND(M81*'FREQUÊNCIA INDÚSTRIA'!$B$2,1)))</f>
        <v>4</v>
      </c>
    </row>
    <row r="82" ht="15.75" customHeight="1">
      <c r="B82" s="2" t="s">
        <v>56</v>
      </c>
      <c r="C82" s="2" t="s">
        <v>32</v>
      </c>
      <c r="D82" s="2" t="s">
        <v>24</v>
      </c>
      <c r="E82" s="2" t="s">
        <v>75</v>
      </c>
      <c r="H82" s="3" t="s">
        <v>17</v>
      </c>
      <c r="J82" s="4"/>
      <c r="M82" s="5">
        <f t="shared" si="1"/>
        <v>1</v>
      </c>
      <c r="N82" s="5">
        <f>IF(B82="","",IF(M82="","",ROUND(M82*'FREQUÊNCIA INDÚSTRIA'!$B$2,1)))</f>
        <v>4</v>
      </c>
    </row>
    <row r="83" ht="15.75" customHeight="1">
      <c r="B83" s="2" t="s">
        <v>13</v>
      </c>
      <c r="C83" s="2" t="s">
        <v>84</v>
      </c>
      <c r="D83" s="2" t="s">
        <v>24</v>
      </c>
      <c r="E83" s="2" t="s">
        <v>75</v>
      </c>
      <c r="F83" s="3"/>
      <c r="G83" s="3" t="s">
        <v>17</v>
      </c>
      <c r="J83" s="4"/>
      <c r="M83" s="5">
        <f t="shared" si="1"/>
        <v>1</v>
      </c>
      <c r="N83" s="5">
        <f>IF(B83="","",IF(M83="","",ROUND(M83*'FREQUÊNCIA INDÚSTRIA'!$B$2,1)))</f>
        <v>4</v>
      </c>
    </row>
    <row r="84" ht="15.75" customHeight="1">
      <c r="B84" s="2" t="s">
        <v>13</v>
      </c>
      <c r="C84" s="2" t="s">
        <v>85</v>
      </c>
      <c r="D84" s="2" t="s">
        <v>24</v>
      </c>
      <c r="E84" s="2" t="s">
        <v>75</v>
      </c>
      <c r="F84" s="3" t="s">
        <v>17</v>
      </c>
      <c r="J84" s="4"/>
      <c r="M84" s="5">
        <f t="shared" si="1"/>
        <v>1</v>
      </c>
      <c r="N84" s="5">
        <f>IF(B84="","",IF(M84="","",ROUND(M84*'FREQUÊNCIA INDÚSTRIA'!$B$2,1)))</f>
        <v>4</v>
      </c>
    </row>
    <row r="85" ht="15.75" customHeight="1">
      <c r="B85" s="2" t="s">
        <v>13</v>
      </c>
      <c r="C85" s="2" t="s">
        <v>86</v>
      </c>
      <c r="D85" s="2" t="s">
        <v>24</v>
      </c>
      <c r="E85" s="2" t="s">
        <v>75</v>
      </c>
      <c r="F85" s="3" t="s">
        <v>17</v>
      </c>
      <c r="J85" s="4"/>
      <c r="M85" s="5">
        <f t="shared" si="1"/>
        <v>1</v>
      </c>
      <c r="N85" s="5">
        <f>IF(B85="","",IF(M85="","",ROUND(M85*'FREQUÊNCIA INDÚSTRIA'!$B$2,1)))</f>
        <v>4</v>
      </c>
    </row>
    <row r="86" ht="15.75" customHeight="1">
      <c r="B86" s="2" t="s">
        <v>56</v>
      </c>
      <c r="C86" s="2" t="s">
        <v>87</v>
      </c>
      <c r="D86" s="2" t="s">
        <v>24</v>
      </c>
      <c r="E86" s="2" t="s">
        <v>88</v>
      </c>
      <c r="H86" s="3" t="s">
        <v>17</v>
      </c>
      <c r="J86" s="4"/>
      <c r="M86" s="5">
        <f t="shared" si="1"/>
        <v>1</v>
      </c>
      <c r="N86" s="5">
        <f>IF(B86="","",IF(M86="","",ROUND(M86*'FREQUÊNCIA INDÚSTRIA'!$B$2,1)))</f>
        <v>4</v>
      </c>
    </row>
    <row r="87" ht="15.75" customHeight="1">
      <c r="B87" s="2" t="s">
        <v>56</v>
      </c>
      <c r="C87" s="2" t="s">
        <v>89</v>
      </c>
      <c r="D87" s="2" t="s">
        <v>24</v>
      </c>
      <c r="E87" s="2" t="s">
        <v>88</v>
      </c>
      <c r="H87" s="3" t="s">
        <v>17</v>
      </c>
      <c r="J87" s="4"/>
      <c r="M87" s="5">
        <f t="shared" si="1"/>
        <v>1</v>
      </c>
      <c r="N87" s="5">
        <f>IF(B87="","",IF(M87="","",ROUND(M87*'FREQUÊNCIA INDÚSTRIA'!$B$2,1)))</f>
        <v>4</v>
      </c>
    </row>
    <row r="88" ht="15.75" customHeight="1">
      <c r="B88" s="2" t="s">
        <v>56</v>
      </c>
      <c r="C88" s="2" t="s">
        <v>90</v>
      </c>
      <c r="D88" s="2" t="s">
        <v>24</v>
      </c>
      <c r="E88" s="2" t="s">
        <v>88</v>
      </c>
      <c r="H88" s="3" t="s">
        <v>17</v>
      </c>
      <c r="J88" s="4"/>
      <c r="M88" s="5">
        <f t="shared" si="1"/>
        <v>1</v>
      </c>
      <c r="N88" s="5">
        <f>IF(B88="","",IF(M88="","",ROUND(M88*'FREQUÊNCIA INDÚSTRIA'!$B$2,1)))</f>
        <v>4</v>
      </c>
    </row>
    <row r="89" ht="15.75" customHeight="1">
      <c r="B89" s="7" t="s">
        <v>28</v>
      </c>
      <c r="C89" s="7" t="s">
        <v>91</v>
      </c>
      <c r="D89" s="9" t="s">
        <v>58</v>
      </c>
      <c r="E89" s="7" t="s">
        <v>92</v>
      </c>
      <c r="F89" s="7" t="s">
        <v>17</v>
      </c>
      <c r="H89" s="7" t="s">
        <v>17</v>
      </c>
      <c r="J89" s="3" t="s">
        <v>17</v>
      </c>
      <c r="M89" s="5">
        <f t="shared" si="1"/>
        <v>3</v>
      </c>
      <c r="N89" s="5">
        <f>IF(B89="","",IF(M89="","",ROUND(M89*'FREQUÊNCIA INDÚSTRIA'!$B$2,1)))</f>
        <v>12</v>
      </c>
    </row>
    <row r="90" ht="15.75" customHeight="1">
      <c r="B90" s="7" t="s">
        <v>28</v>
      </c>
      <c r="C90" s="7" t="s">
        <v>93</v>
      </c>
      <c r="D90" s="9" t="s">
        <v>58</v>
      </c>
      <c r="E90" s="7" t="s">
        <v>92</v>
      </c>
      <c r="F90" s="7" t="s">
        <v>17</v>
      </c>
      <c r="H90" s="7" t="s">
        <v>17</v>
      </c>
      <c r="J90" s="3" t="s">
        <v>17</v>
      </c>
      <c r="M90" s="5">
        <f t="shared" si="1"/>
        <v>3</v>
      </c>
      <c r="N90" s="5">
        <f>IF(B90="","",IF(M90="","",ROUND(M90*'FREQUÊNCIA INDÚSTRIA'!$B$2,1)))</f>
        <v>12</v>
      </c>
    </row>
    <row r="91" ht="15.75" customHeight="1">
      <c r="B91" s="7" t="s">
        <v>28</v>
      </c>
      <c r="C91" s="7" t="s">
        <v>94</v>
      </c>
      <c r="D91" s="9" t="s">
        <v>58</v>
      </c>
      <c r="E91" s="7" t="s">
        <v>92</v>
      </c>
      <c r="F91" s="7" t="s">
        <v>17</v>
      </c>
      <c r="J91" s="4"/>
      <c r="M91" s="5">
        <f t="shared" si="1"/>
        <v>1</v>
      </c>
      <c r="N91" s="5">
        <f>IF(B91="","",IF(M91="","",ROUND(M91*'FREQUÊNCIA INDÚSTRIA'!$B$2,1)))</f>
        <v>4</v>
      </c>
    </row>
    <row r="92" ht="15.75" customHeight="1">
      <c r="B92" s="7" t="s">
        <v>13</v>
      </c>
      <c r="C92" s="7" t="s">
        <v>95</v>
      </c>
      <c r="D92" s="9" t="s">
        <v>58</v>
      </c>
      <c r="E92" s="7" t="s">
        <v>92</v>
      </c>
      <c r="G92" s="7" t="s">
        <v>17</v>
      </c>
      <c r="J92" s="4"/>
      <c r="M92" s="5">
        <f t="shared" si="1"/>
        <v>1</v>
      </c>
      <c r="N92" s="5">
        <f>IF(B92="","",IF(M92="","",ROUND(M92*'FREQUÊNCIA INDÚSTRIA'!$B$2,1)))</f>
        <v>4</v>
      </c>
    </row>
    <row r="93" ht="15.75" customHeight="1">
      <c r="B93" s="7" t="s">
        <v>13</v>
      </c>
      <c r="C93" s="7" t="s">
        <v>96</v>
      </c>
      <c r="D93" s="9" t="s">
        <v>58</v>
      </c>
      <c r="E93" s="7" t="s">
        <v>92</v>
      </c>
      <c r="G93" s="7" t="s">
        <v>17</v>
      </c>
      <c r="J93" s="4"/>
      <c r="M93" s="5">
        <f t="shared" si="1"/>
        <v>1</v>
      </c>
      <c r="N93" s="5">
        <f>IF(B93="","",IF(M93="","",ROUND(M93*'FREQUÊNCIA INDÚSTRIA'!$B$2,1)))</f>
        <v>4</v>
      </c>
    </row>
    <row r="94" ht="15.75" customHeight="1">
      <c r="B94" s="2" t="s">
        <v>13</v>
      </c>
      <c r="C94" s="2" t="s">
        <v>97</v>
      </c>
      <c r="D94" s="9" t="s">
        <v>58</v>
      </c>
      <c r="E94" s="2" t="s">
        <v>92</v>
      </c>
      <c r="H94" s="7" t="s">
        <v>17</v>
      </c>
      <c r="J94" s="4"/>
      <c r="M94" s="5">
        <f t="shared" si="1"/>
        <v>1</v>
      </c>
      <c r="N94" s="5">
        <f>IF(B94="","",IF(M94="","",ROUND(M94*'FREQUÊNCIA INDÚSTRIA'!$B$2,1)))</f>
        <v>4</v>
      </c>
    </row>
    <row r="95" ht="15.75" customHeight="1">
      <c r="B95" s="7" t="s">
        <v>35</v>
      </c>
      <c r="C95" s="7" t="s">
        <v>93</v>
      </c>
      <c r="D95" s="9" t="s">
        <v>58</v>
      </c>
      <c r="E95" s="7" t="s">
        <v>92</v>
      </c>
      <c r="F95" s="7" t="s">
        <v>17</v>
      </c>
      <c r="H95" s="7" t="s">
        <v>17</v>
      </c>
      <c r="J95" s="3" t="s">
        <v>17</v>
      </c>
      <c r="M95" s="5">
        <f t="shared" si="1"/>
        <v>3</v>
      </c>
      <c r="N95" s="5">
        <f>IF(B95="","",IF(M95="","",ROUND(M95*'FREQUÊNCIA INDÚSTRIA'!$B$2,1)))</f>
        <v>12</v>
      </c>
    </row>
    <row r="96" ht="15.75" customHeight="1">
      <c r="B96" s="7" t="s">
        <v>35</v>
      </c>
      <c r="C96" s="7" t="s">
        <v>91</v>
      </c>
      <c r="D96" s="9" t="s">
        <v>58</v>
      </c>
      <c r="E96" s="7" t="s">
        <v>92</v>
      </c>
      <c r="F96" s="7" t="s">
        <v>17</v>
      </c>
      <c r="H96" s="7" t="s">
        <v>17</v>
      </c>
      <c r="J96" s="3" t="s">
        <v>17</v>
      </c>
      <c r="M96" s="5">
        <f t="shared" si="1"/>
        <v>3</v>
      </c>
      <c r="N96" s="5">
        <f>IF(B96="","",IF(M96="","",ROUND(M96*'FREQUÊNCIA INDÚSTRIA'!$B$2,1)))</f>
        <v>12</v>
      </c>
    </row>
    <row r="97" ht="15.75" customHeight="1">
      <c r="B97" s="7" t="s">
        <v>35</v>
      </c>
      <c r="C97" s="7" t="s">
        <v>94</v>
      </c>
      <c r="D97" s="9" t="s">
        <v>58</v>
      </c>
      <c r="E97" s="7" t="s">
        <v>92</v>
      </c>
      <c r="F97" s="7" t="s">
        <v>17</v>
      </c>
      <c r="H97" s="7" t="s">
        <v>17</v>
      </c>
      <c r="J97" s="4"/>
      <c r="M97" s="5">
        <f t="shared" si="1"/>
        <v>2</v>
      </c>
      <c r="N97" s="5">
        <f>IF(B97="","",IF(M97="","",ROUND(M97*'FREQUÊNCIA INDÚSTRIA'!$B$2,1)))</f>
        <v>8</v>
      </c>
    </row>
    <row r="98" ht="15.75" customHeight="1">
      <c r="B98" s="2" t="s">
        <v>42</v>
      </c>
      <c r="C98" s="2" t="s">
        <v>97</v>
      </c>
      <c r="D98" s="9" t="s">
        <v>58</v>
      </c>
      <c r="E98" s="7" t="s">
        <v>92</v>
      </c>
      <c r="G98" s="7" t="s">
        <v>17</v>
      </c>
      <c r="I98" s="7" t="s">
        <v>17</v>
      </c>
      <c r="J98" s="4"/>
      <c r="K98" s="7" t="s">
        <v>17</v>
      </c>
      <c r="M98" s="5">
        <f t="shared" si="1"/>
        <v>3</v>
      </c>
      <c r="N98" s="5">
        <f>IF(B98="","",IF(M98="","",ROUND(M98*'FREQUÊNCIA INDÚSTRIA'!$B$2,1)))</f>
        <v>12</v>
      </c>
    </row>
    <row r="99" ht="15.75" customHeight="1">
      <c r="B99" s="2" t="s">
        <v>42</v>
      </c>
      <c r="C99" s="2" t="s">
        <v>95</v>
      </c>
      <c r="D99" s="9" t="s">
        <v>58</v>
      </c>
      <c r="E99" s="7" t="s">
        <v>92</v>
      </c>
      <c r="G99" s="7" t="s">
        <v>17</v>
      </c>
      <c r="I99" s="7" t="s">
        <v>17</v>
      </c>
      <c r="J99" s="4"/>
      <c r="K99" s="7" t="s">
        <v>17</v>
      </c>
      <c r="M99" s="5">
        <f t="shared" si="1"/>
        <v>3</v>
      </c>
      <c r="N99" s="5">
        <f>IF(B99="","",IF(M99="","",ROUND(M99*'FREQUÊNCIA INDÚSTRIA'!$B$2,1)))</f>
        <v>12</v>
      </c>
    </row>
    <row r="100" ht="15.75" customHeight="1">
      <c r="B100" s="2" t="s">
        <v>42</v>
      </c>
      <c r="C100" s="2" t="s">
        <v>95</v>
      </c>
      <c r="D100" s="2" t="s">
        <v>58</v>
      </c>
      <c r="E100" s="2" t="s">
        <v>92</v>
      </c>
      <c r="I100" s="3" t="s">
        <v>17</v>
      </c>
      <c r="J100" s="4"/>
      <c r="M100" s="5">
        <f t="shared" si="1"/>
        <v>1</v>
      </c>
      <c r="N100" s="5">
        <f>IF(B100="","",IF(M100="","",ROUND(M100*'FREQUÊNCIA INDÚSTRIA'!$B$2,1)))</f>
        <v>4</v>
      </c>
    </row>
    <row r="101" ht="15.75" customHeight="1">
      <c r="B101" s="2" t="s">
        <v>42</v>
      </c>
      <c r="C101" s="2" t="s">
        <v>96</v>
      </c>
      <c r="D101" s="2" t="s">
        <v>58</v>
      </c>
      <c r="E101" s="2" t="s">
        <v>92</v>
      </c>
      <c r="J101" s="3" t="s">
        <v>17</v>
      </c>
      <c r="M101" s="5">
        <f t="shared" si="1"/>
        <v>1</v>
      </c>
      <c r="N101" s="5">
        <f>IF(B101="","",IF(M101="","",ROUND(M101*'FREQUÊNCIA INDÚSTRIA'!$B$2,1)))</f>
        <v>4</v>
      </c>
    </row>
    <row r="102" ht="15.75" customHeight="1">
      <c r="B102" s="2" t="s">
        <v>42</v>
      </c>
      <c r="C102" s="2" t="s">
        <v>98</v>
      </c>
      <c r="D102" s="2" t="s">
        <v>24</v>
      </c>
      <c r="E102" s="2" t="s">
        <v>99</v>
      </c>
      <c r="H102" s="3" t="s">
        <v>17</v>
      </c>
      <c r="J102" s="4"/>
      <c r="M102" s="5">
        <f t="shared" si="1"/>
        <v>1</v>
      </c>
      <c r="N102" s="5">
        <f>IF(B102="","",IF(M102="","",ROUND(M102*'FREQUÊNCIA INDÚSTRIA'!$B$2,1)))</f>
        <v>4</v>
      </c>
    </row>
    <row r="103" ht="15.75" customHeight="1">
      <c r="B103" s="6" t="s">
        <v>28</v>
      </c>
      <c r="C103" s="6" t="s">
        <v>100</v>
      </c>
      <c r="D103" s="2" t="s">
        <v>24</v>
      </c>
      <c r="E103" s="2" t="s">
        <v>101</v>
      </c>
      <c r="F103" s="3" t="s">
        <v>17</v>
      </c>
      <c r="J103" s="4"/>
      <c r="M103" s="5">
        <f t="shared" si="1"/>
        <v>1</v>
      </c>
      <c r="N103" s="5">
        <f>IF(B103="","",IF(M103="","",ROUND(M103*'FREQUÊNCIA INDÚSTRIA'!$B$2,1)))</f>
        <v>4</v>
      </c>
    </row>
    <row r="104" ht="15.75" customHeight="1">
      <c r="B104" s="6" t="s">
        <v>28</v>
      </c>
      <c r="C104" s="6" t="s">
        <v>102</v>
      </c>
      <c r="D104" s="2" t="s">
        <v>24</v>
      </c>
      <c r="E104" s="2" t="s">
        <v>101</v>
      </c>
      <c r="G104" s="3" t="s">
        <v>17</v>
      </c>
      <c r="I104" s="3" t="s">
        <v>17</v>
      </c>
      <c r="J104" s="4"/>
      <c r="M104" s="5">
        <f t="shared" si="1"/>
        <v>2</v>
      </c>
      <c r="N104" s="5">
        <f>IF(B104="","",IF(M104="","",ROUND(M104*'FREQUÊNCIA INDÚSTRIA'!$B$2,1)))</f>
        <v>8</v>
      </c>
    </row>
    <row r="105" ht="15.75" customHeight="1">
      <c r="B105" s="6" t="s">
        <v>28</v>
      </c>
      <c r="C105" s="6" t="s">
        <v>103</v>
      </c>
      <c r="D105" s="2" t="s">
        <v>24</v>
      </c>
      <c r="E105" s="2" t="s">
        <v>101</v>
      </c>
      <c r="I105" s="3" t="s">
        <v>17</v>
      </c>
      <c r="J105" s="4"/>
      <c r="M105" s="5">
        <f t="shared" si="1"/>
        <v>1</v>
      </c>
      <c r="N105" s="5">
        <f>IF(B105="","",IF(M105="","",ROUND(M105*'FREQUÊNCIA INDÚSTRIA'!$B$2,1)))</f>
        <v>4</v>
      </c>
    </row>
    <row r="106" ht="15.75" customHeight="1">
      <c r="B106" s="6" t="s">
        <v>28</v>
      </c>
      <c r="C106" s="6" t="s">
        <v>104</v>
      </c>
      <c r="D106" s="2" t="s">
        <v>24</v>
      </c>
      <c r="E106" s="2" t="s">
        <v>101</v>
      </c>
      <c r="G106" s="3" t="s">
        <v>17</v>
      </c>
      <c r="J106" s="4"/>
      <c r="M106" s="5">
        <f t="shared" si="1"/>
        <v>1</v>
      </c>
      <c r="N106" s="5">
        <f>IF(B106="","",IF(M106="","",ROUND(M106*'FREQUÊNCIA INDÚSTRIA'!$B$2,1)))</f>
        <v>4</v>
      </c>
    </row>
    <row r="107" ht="15.75" customHeight="1">
      <c r="B107" s="6" t="s">
        <v>28</v>
      </c>
      <c r="C107" s="6" t="s">
        <v>105</v>
      </c>
      <c r="D107" s="2" t="s">
        <v>24</v>
      </c>
      <c r="E107" s="2" t="s">
        <v>101</v>
      </c>
      <c r="H107" s="3" t="s">
        <v>17</v>
      </c>
      <c r="J107" s="4"/>
      <c r="M107" s="5">
        <f t="shared" si="1"/>
        <v>1</v>
      </c>
      <c r="N107" s="5">
        <f>IF(B107="","",IF(M107="","",ROUND(M107*'FREQUÊNCIA INDÚSTRIA'!$B$2,1)))</f>
        <v>4</v>
      </c>
    </row>
    <row r="108" ht="15.75" customHeight="1">
      <c r="B108" s="6" t="s">
        <v>22</v>
      </c>
      <c r="C108" s="6" t="s">
        <v>105</v>
      </c>
      <c r="D108" s="2" t="s">
        <v>24</v>
      </c>
      <c r="E108" s="2" t="s">
        <v>101</v>
      </c>
      <c r="F108" s="3" t="s">
        <v>17</v>
      </c>
      <c r="H108" s="3" t="s">
        <v>17</v>
      </c>
      <c r="J108" s="3" t="s">
        <v>17</v>
      </c>
      <c r="M108" s="5">
        <f t="shared" si="1"/>
        <v>3</v>
      </c>
      <c r="N108" s="5">
        <f>IF(B108="","",IF(M108="","",ROUND(M108*'FREQUÊNCIA INDÚSTRIA'!$B$2,1)))</f>
        <v>12</v>
      </c>
    </row>
    <row r="109" ht="15.75" customHeight="1">
      <c r="B109" s="6" t="s">
        <v>22</v>
      </c>
      <c r="C109" s="6" t="s">
        <v>103</v>
      </c>
      <c r="D109" s="2" t="s">
        <v>24</v>
      </c>
      <c r="E109" s="2" t="s">
        <v>101</v>
      </c>
      <c r="G109" s="3" t="s">
        <v>17</v>
      </c>
      <c r="I109" s="3" t="s">
        <v>17</v>
      </c>
      <c r="J109" s="4"/>
      <c r="M109" s="5">
        <f t="shared" si="1"/>
        <v>2</v>
      </c>
      <c r="N109" s="5">
        <f>IF(B109="","",IF(M109="","",ROUND(M109*'FREQUÊNCIA INDÚSTRIA'!$B$2,1)))</f>
        <v>8</v>
      </c>
    </row>
    <row r="110" ht="15.75" customHeight="1">
      <c r="B110" s="6" t="s">
        <v>22</v>
      </c>
      <c r="C110" s="6" t="s">
        <v>102</v>
      </c>
      <c r="D110" s="2" t="s">
        <v>24</v>
      </c>
      <c r="E110" s="2" t="s">
        <v>101</v>
      </c>
      <c r="G110" s="3" t="s">
        <v>17</v>
      </c>
      <c r="I110" s="3" t="s">
        <v>17</v>
      </c>
      <c r="J110" s="4"/>
      <c r="K110" s="3" t="s">
        <v>17</v>
      </c>
      <c r="M110" s="5">
        <f t="shared" si="1"/>
        <v>3</v>
      </c>
      <c r="N110" s="5">
        <f>IF(B110="","",IF(M110="","",ROUND(M110*'FREQUÊNCIA INDÚSTRIA'!$B$2,1)))</f>
        <v>12</v>
      </c>
    </row>
    <row r="111" ht="15.75" customHeight="1">
      <c r="B111" s="6" t="s">
        <v>33</v>
      </c>
      <c r="C111" s="6" t="s">
        <v>105</v>
      </c>
      <c r="D111" s="2" t="s">
        <v>24</v>
      </c>
      <c r="E111" s="2" t="s">
        <v>101</v>
      </c>
      <c r="H111" s="3" t="s">
        <v>17</v>
      </c>
      <c r="J111" s="3" t="s">
        <v>17</v>
      </c>
      <c r="M111" s="5">
        <f t="shared" si="1"/>
        <v>2</v>
      </c>
      <c r="N111" s="5">
        <f>IF(B111="","",IF(M111="","",ROUND(M111*'FREQUÊNCIA INDÚSTRIA'!$B$2,1)))</f>
        <v>8</v>
      </c>
    </row>
    <row r="112" ht="15.75" customHeight="1">
      <c r="B112" s="6" t="s">
        <v>13</v>
      </c>
      <c r="C112" s="6" t="s">
        <v>100</v>
      </c>
      <c r="D112" s="2" t="s">
        <v>24</v>
      </c>
      <c r="E112" s="2" t="s">
        <v>101</v>
      </c>
      <c r="J112" s="4"/>
      <c r="M112" s="5">
        <f t="shared" si="1"/>
        <v>0</v>
      </c>
      <c r="N112" s="5">
        <f>IF(B112="","",IF(M112="","",ROUND(M112*'FREQUÊNCIA INDÚSTRIA'!$B$2,1)))</f>
        <v>0</v>
      </c>
    </row>
    <row r="113" ht="15.75" customHeight="1">
      <c r="B113" s="6" t="s">
        <v>13</v>
      </c>
      <c r="C113" s="6" t="s">
        <v>102</v>
      </c>
      <c r="D113" s="2" t="s">
        <v>24</v>
      </c>
      <c r="E113" s="2" t="s">
        <v>101</v>
      </c>
      <c r="F113" s="3" t="s">
        <v>17</v>
      </c>
      <c r="I113" s="3" t="s">
        <v>17</v>
      </c>
      <c r="J113" s="4"/>
      <c r="M113" s="5">
        <f t="shared" si="1"/>
        <v>2</v>
      </c>
      <c r="N113" s="5">
        <f>IF(B113="","",IF(M113="","",ROUND(M113*'FREQUÊNCIA INDÚSTRIA'!$B$2,1)))</f>
        <v>8</v>
      </c>
    </row>
    <row r="114" ht="15.75" customHeight="1">
      <c r="B114" s="6" t="s">
        <v>35</v>
      </c>
      <c r="C114" s="6" t="s">
        <v>102</v>
      </c>
      <c r="D114" s="2" t="s">
        <v>24</v>
      </c>
      <c r="E114" s="2" t="s">
        <v>101</v>
      </c>
      <c r="G114" s="3" t="s">
        <v>17</v>
      </c>
      <c r="I114" s="3" t="s">
        <v>17</v>
      </c>
      <c r="J114" s="4"/>
      <c r="K114" s="3" t="s">
        <v>17</v>
      </c>
      <c r="M114" s="5">
        <f t="shared" si="1"/>
        <v>3</v>
      </c>
      <c r="N114" s="5">
        <f>IF(B114="","",IF(M114="","",ROUND(M114*'FREQUÊNCIA INDÚSTRIA'!$B$2,1)))</f>
        <v>12</v>
      </c>
    </row>
    <row r="115" ht="15.75" customHeight="1">
      <c r="B115" s="6" t="s">
        <v>73</v>
      </c>
      <c r="C115" s="6" t="s">
        <v>104</v>
      </c>
      <c r="D115" s="2" t="s">
        <v>24</v>
      </c>
      <c r="E115" s="2" t="s">
        <v>101</v>
      </c>
      <c r="G115" s="3" t="s">
        <v>17</v>
      </c>
      <c r="J115" s="3" t="s">
        <v>17</v>
      </c>
      <c r="M115" s="5">
        <f t="shared" si="1"/>
        <v>2</v>
      </c>
      <c r="N115" s="5">
        <f>IF(B115="","",IF(M115="","",ROUND(M115*'FREQUÊNCIA INDÚSTRIA'!$B$2,1)))</f>
        <v>8</v>
      </c>
    </row>
    <row r="116" ht="15.75" customHeight="1">
      <c r="B116" s="6" t="s">
        <v>73</v>
      </c>
      <c r="C116" s="6" t="s">
        <v>105</v>
      </c>
      <c r="D116" s="2" t="s">
        <v>24</v>
      </c>
      <c r="E116" s="2" t="s">
        <v>101</v>
      </c>
      <c r="J116" s="4"/>
      <c r="M116" s="5">
        <f t="shared" si="1"/>
        <v>0</v>
      </c>
      <c r="N116" s="5">
        <f>IF(B116="","",IF(M116="","",ROUND(M116*'FREQUÊNCIA INDÚSTRIA'!$B$2,1)))</f>
        <v>0</v>
      </c>
    </row>
    <row r="117" ht="15.75" customHeight="1">
      <c r="B117" s="2" t="s">
        <v>42</v>
      </c>
      <c r="C117" s="2" t="s">
        <v>100</v>
      </c>
      <c r="D117" s="2" t="s">
        <v>24</v>
      </c>
      <c r="E117" s="2" t="s">
        <v>101</v>
      </c>
      <c r="G117" s="3" t="s">
        <v>17</v>
      </c>
      <c r="J117" s="4"/>
      <c r="M117" s="5">
        <f t="shared" si="1"/>
        <v>1</v>
      </c>
      <c r="N117" s="5">
        <f>IF(B117="","",IF(M117="","",ROUND(M117*'FREQUÊNCIA INDÚSTRIA'!$B$2,1)))</f>
        <v>4</v>
      </c>
    </row>
    <row r="118" ht="15.75" customHeight="1">
      <c r="B118" s="2" t="s">
        <v>56</v>
      </c>
      <c r="C118" s="2" t="s">
        <v>106</v>
      </c>
      <c r="D118" s="2" t="s">
        <v>24</v>
      </c>
      <c r="E118" s="2" t="s">
        <v>101</v>
      </c>
      <c r="H118" s="3" t="s">
        <v>17</v>
      </c>
      <c r="J118" s="4"/>
      <c r="M118" s="5">
        <f t="shared" si="1"/>
        <v>1</v>
      </c>
      <c r="N118" s="5">
        <f>IF(B118="","",IF(M118="","",ROUND(M118*'FREQUÊNCIA INDÚSTRIA'!$B$2,1)))</f>
        <v>4</v>
      </c>
    </row>
    <row r="119" ht="15.75" customHeight="1">
      <c r="B119" s="8" t="s">
        <v>43</v>
      </c>
      <c r="C119" s="8" t="s">
        <v>107</v>
      </c>
      <c r="D119" s="8" t="s">
        <v>24</v>
      </c>
      <c r="E119" s="8" t="s">
        <v>108</v>
      </c>
      <c r="F119" s="3"/>
      <c r="H119" s="3"/>
      <c r="J119" s="4"/>
      <c r="K119" s="3" t="s">
        <v>17</v>
      </c>
      <c r="M119" s="5">
        <f t="shared" si="1"/>
        <v>1</v>
      </c>
      <c r="N119" s="5">
        <f>IF(B119="","",IF(M119="","",ROUND(M119*'FREQUÊNCIA INDÚSTRIA'!$B$2,1)))</f>
        <v>4</v>
      </c>
    </row>
    <row r="120" ht="15.75" customHeight="1">
      <c r="B120" s="8" t="s">
        <v>43</v>
      </c>
      <c r="C120" s="8" t="s">
        <v>109</v>
      </c>
      <c r="D120" s="8" t="s">
        <v>24</v>
      </c>
      <c r="E120" s="8" t="s">
        <v>108</v>
      </c>
      <c r="F120" s="3"/>
      <c r="G120" s="3" t="s">
        <v>17</v>
      </c>
      <c r="H120" s="3"/>
      <c r="J120" s="4"/>
      <c r="M120" s="5">
        <f t="shared" si="1"/>
        <v>1</v>
      </c>
      <c r="N120" s="5">
        <f>IF(B120="","",IF(M120="","",ROUND(M120*'FREQUÊNCIA INDÚSTRIA'!$B$2,1)))</f>
        <v>4</v>
      </c>
    </row>
    <row r="121" ht="15.75" customHeight="1">
      <c r="B121" s="6" t="s">
        <v>22</v>
      </c>
      <c r="C121" s="2" t="s">
        <v>110</v>
      </c>
      <c r="D121" s="2" t="s">
        <v>24</v>
      </c>
      <c r="E121" s="2" t="s">
        <v>108</v>
      </c>
      <c r="F121" s="3" t="s">
        <v>17</v>
      </c>
      <c r="H121" s="3" t="s">
        <v>17</v>
      </c>
      <c r="J121" s="4"/>
      <c r="M121" s="5">
        <f t="shared" si="1"/>
        <v>2</v>
      </c>
      <c r="N121" s="5">
        <f>IF(B121="","",IF(M121="","",ROUND(M121*'FREQUÊNCIA INDÚSTRIA'!$B$2,1)))</f>
        <v>8</v>
      </c>
    </row>
    <row r="122" ht="15.75" customHeight="1">
      <c r="B122" s="6" t="s">
        <v>28</v>
      </c>
      <c r="C122" s="2" t="s">
        <v>111</v>
      </c>
      <c r="D122" s="2" t="s">
        <v>24</v>
      </c>
      <c r="E122" s="2" t="s">
        <v>108</v>
      </c>
      <c r="I122" s="3" t="s">
        <v>17</v>
      </c>
      <c r="J122" s="4"/>
      <c r="M122" s="5">
        <f t="shared" si="1"/>
        <v>1</v>
      </c>
      <c r="N122" s="5">
        <f>IF(B122="","",IF(M122="","",ROUND(M122*'FREQUÊNCIA INDÚSTRIA'!$B$2,1)))</f>
        <v>4</v>
      </c>
    </row>
    <row r="123" ht="15.75" customHeight="1">
      <c r="B123" s="2" t="s">
        <v>33</v>
      </c>
      <c r="C123" s="2" t="s">
        <v>112</v>
      </c>
      <c r="D123" s="2" t="s">
        <v>24</v>
      </c>
      <c r="E123" s="2" t="s">
        <v>108</v>
      </c>
      <c r="F123" s="3" t="s">
        <v>17</v>
      </c>
      <c r="G123" s="3" t="s">
        <v>17</v>
      </c>
      <c r="H123" s="3" t="s">
        <v>17</v>
      </c>
      <c r="I123" s="3" t="s">
        <v>17</v>
      </c>
      <c r="J123" s="3" t="s">
        <v>17</v>
      </c>
      <c r="K123" s="3" t="s">
        <v>17</v>
      </c>
      <c r="M123" s="5">
        <f t="shared" si="1"/>
        <v>6</v>
      </c>
      <c r="N123" s="5">
        <f>IF(B123="","",IF(M123="","",ROUND(M123*'FREQUÊNCIA INDÚSTRIA'!$B$2,1)))</f>
        <v>24</v>
      </c>
    </row>
    <row r="124" ht="15.75" customHeight="1">
      <c r="B124" s="2" t="s">
        <v>33</v>
      </c>
      <c r="C124" s="2" t="s">
        <v>113</v>
      </c>
      <c r="D124" s="2" t="s">
        <v>24</v>
      </c>
      <c r="E124" s="2" t="s">
        <v>108</v>
      </c>
      <c r="F124" s="3" t="s">
        <v>17</v>
      </c>
      <c r="H124" s="3" t="s">
        <v>17</v>
      </c>
      <c r="J124" s="3" t="s">
        <v>17</v>
      </c>
      <c r="M124" s="5">
        <f t="shared" si="1"/>
        <v>3</v>
      </c>
      <c r="N124" s="5">
        <f>IF(B124="","",IF(M124="","",ROUND(M124*'FREQUÊNCIA INDÚSTRIA'!$B$2,1)))</f>
        <v>12</v>
      </c>
    </row>
    <row r="125" ht="15.75" customHeight="1">
      <c r="B125" s="2" t="s">
        <v>33</v>
      </c>
      <c r="C125" s="2" t="s">
        <v>114</v>
      </c>
      <c r="D125" s="2" t="s">
        <v>24</v>
      </c>
      <c r="E125" s="2" t="s">
        <v>108</v>
      </c>
      <c r="G125" s="3" t="s">
        <v>17</v>
      </c>
      <c r="I125" s="3" t="s">
        <v>17</v>
      </c>
      <c r="J125" s="4"/>
      <c r="K125" s="3" t="s">
        <v>17</v>
      </c>
      <c r="M125" s="5">
        <f t="shared" si="1"/>
        <v>3</v>
      </c>
      <c r="N125" s="5">
        <f>IF(B125="","",IF(M125="","",ROUND(M125*'FREQUÊNCIA INDÚSTRIA'!$B$2,1)))</f>
        <v>12</v>
      </c>
    </row>
    <row r="126" ht="15.75" customHeight="1">
      <c r="B126" s="2" t="s">
        <v>33</v>
      </c>
      <c r="C126" s="2" t="s">
        <v>115</v>
      </c>
      <c r="D126" s="2" t="s">
        <v>24</v>
      </c>
      <c r="E126" s="2" t="s">
        <v>108</v>
      </c>
      <c r="F126" s="3" t="s">
        <v>17</v>
      </c>
      <c r="H126" s="3" t="s">
        <v>17</v>
      </c>
      <c r="J126" s="3" t="s">
        <v>17</v>
      </c>
      <c r="M126" s="5">
        <f t="shared" si="1"/>
        <v>3</v>
      </c>
      <c r="N126" s="5">
        <f>IF(B126="","",IF(M126="","",ROUND(M126*'FREQUÊNCIA INDÚSTRIA'!$B$2,1)))</f>
        <v>12</v>
      </c>
    </row>
    <row r="127" ht="15.75" customHeight="1">
      <c r="B127" s="2" t="s">
        <v>13</v>
      </c>
      <c r="C127" s="2" t="s">
        <v>111</v>
      </c>
      <c r="D127" s="2" t="s">
        <v>24</v>
      </c>
      <c r="E127" s="2" t="s">
        <v>108</v>
      </c>
      <c r="I127" s="3" t="s">
        <v>17</v>
      </c>
      <c r="J127" s="4"/>
      <c r="M127" s="5">
        <f t="shared" si="1"/>
        <v>1</v>
      </c>
      <c r="N127" s="5">
        <f>IF(B127="","",IF(M127="","",ROUND(M127*'FREQUÊNCIA INDÚSTRIA'!$B$2,1)))</f>
        <v>4</v>
      </c>
    </row>
    <row r="128" ht="15.75" customHeight="1">
      <c r="B128" s="2" t="s">
        <v>36</v>
      </c>
      <c r="C128" s="2" t="s">
        <v>26</v>
      </c>
      <c r="D128" s="2" t="s">
        <v>24</v>
      </c>
      <c r="E128" s="2" t="s">
        <v>108</v>
      </c>
      <c r="H128" s="3" t="s">
        <v>17</v>
      </c>
      <c r="J128" s="4"/>
      <c r="M128" s="5">
        <f t="shared" si="1"/>
        <v>1</v>
      </c>
      <c r="N128" s="5">
        <f>IF(B128="","",IF(M128="","",ROUND(M128*'FREQUÊNCIA INDÚSTRIA'!$B$2,1)))</f>
        <v>4</v>
      </c>
    </row>
    <row r="129" ht="15.75" customHeight="1">
      <c r="B129" s="2" t="s">
        <v>36</v>
      </c>
      <c r="C129" s="2" t="s">
        <v>116</v>
      </c>
      <c r="D129" s="2" t="s">
        <v>24</v>
      </c>
      <c r="E129" s="2" t="s">
        <v>108</v>
      </c>
      <c r="H129" s="3" t="s">
        <v>17</v>
      </c>
      <c r="J129" s="4"/>
      <c r="M129" s="5">
        <f t="shared" si="1"/>
        <v>1</v>
      </c>
      <c r="N129" s="5">
        <f>IF(B129="","",IF(M129="","",ROUND(M129*'FREQUÊNCIA INDÚSTRIA'!$B$2,1)))</f>
        <v>4</v>
      </c>
    </row>
    <row r="130" ht="15.75" customHeight="1">
      <c r="B130" s="2" t="s">
        <v>36</v>
      </c>
      <c r="C130" s="2" t="s">
        <v>112</v>
      </c>
      <c r="D130" s="2" t="s">
        <v>24</v>
      </c>
      <c r="E130" s="2" t="s">
        <v>108</v>
      </c>
      <c r="I130" s="3" t="s">
        <v>17</v>
      </c>
      <c r="J130" s="4"/>
      <c r="M130" s="5">
        <f t="shared" si="1"/>
        <v>1</v>
      </c>
      <c r="N130" s="5">
        <f>IF(B130="","",IF(M130="","",ROUND(M130*'FREQUÊNCIA INDÚSTRIA'!$B$2,1)))</f>
        <v>4</v>
      </c>
    </row>
    <row r="131" ht="15.75" customHeight="1">
      <c r="B131" s="2" t="s">
        <v>42</v>
      </c>
      <c r="C131" s="2" t="s">
        <v>117</v>
      </c>
      <c r="D131" s="2" t="s">
        <v>24</v>
      </c>
      <c r="E131" s="2" t="s">
        <v>108</v>
      </c>
      <c r="I131" s="3" t="s">
        <v>17</v>
      </c>
      <c r="J131" s="4"/>
      <c r="M131" s="5">
        <f t="shared" si="1"/>
        <v>1</v>
      </c>
      <c r="N131" s="5">
        <f>IF(B131="","",IF(M131="","",ROUND(M131*'FREQUÊNCIA INDÚSTRIA'!$B$2,1)))</f>
        <v>4</v>
      </c>
    </row>
    <row r="132" ht="15.75" customHeight="1">
      <c r="B132" s="2" t="s">
        <v>56</v>
      </c>
      <c r="C132" s="2" t="s">
        <v>118</v>
      </c>
      <c r="D132" s="2" t="s">
        <v>24</v>
      </c>
      <c r="E132" s="2" t="s">
        <v>108</v>
      </c>
      <c r="I132" s="3" t="s">
        <v>17</v>
      </c>
      <c r="J132" s="3" t="s">
        <v>17</v>
      </c>
      <c r="M132" s="5">
        <f t="shared" si="1"/>
        <v>2</v>
      </c>
      <c r="N132" s="5">
        <f>IF(B132="","",IF(M132="","",ROUND(M132*'FREQUÊNCIA INDÚSTRIA'!$B$2,1)))</f>
        <v>8</v>
      </c>
    </row>
    <row r="133" ht="15.75" customHeight="1">
      <c r="B133" s="2" t="s">
        <v>56</v>
      </c>
      <c r="C133" s="2" t="s">
        <v>119</v>
      </c>
      <c r="D133" s="2" t="s">
        <v>24</v>
      </c>
      <c r="E133" s="2" t="s">
        <v>108</v>
      </c>
      <c r="H133" s="3" t="s">
        <v>17</v>
      </c>
      <c r="J133" s="4"/>
      <c r="M133" s="5">
        <f t="shared" si="1"/>
        <v>1</v>
      </c>
      <c r="N133" s="5">
        <f>IF(B133="","",IF(M133="","",ROUND(M133*'FREQUÊNCIA INDÚSTRIA'!$B$2,1)))</f>
        <v>4</v>
      </c>
    </row>
    <row r="134" ht="15.75" customHeight="1">
      <c r="B134" s="2" t="s">
        <v>56</v>
      </c>
      <c r="C134" s="2" t="s">
        <v>107</v>
      </c>
      <c r="D134" s="2" t="s">
        <v>24</v>
      </c>
      <c r="E134" s="2" t="s">
        <v>108</v>
      </c>
      <c r="H134" s="3" t="s">
        <v>17</v>
      </c>
      <c r="J134" s="4"/>
      <c r="M134" s="5">
        <f t="shared" si="1"/>
        <v>1</v>
      </c>
      <c r="N134" s="5">
        <f>IF(B134="","",IF(M134="","",ROUND(M134*'FREQUÊNCIA INDÚSTRIA'!$B$2,1)))</f>
        <v>4</v>
      </c>
    </row>
    <row r="135" ht="15.75" customHeight="1">
      <c r="B135" s="6" t="s">
        <v>22</v>
      </c>
      <c r="C135" s="6" t="s">
        <v>120</v>
      </c>
      <c r="D135" s="2" t="s">
        <v>24</v>
      </c>
      <c r="E135" s="2" t="s">
        <v>121</v>
      </c>
      <c r="G135" s="3" t="s">
        <v>17</v>
      </c>
      <c r="I135" s="3" t="s">
        <v>17</v>
      </c>
      <c r="J135" s="4"/>
      <c r="M135" s="5">
        <f t="shared" si="1"/>
        <v>2</v>
      </c>
      <c r="N135" s="5">
        <f>IF(B135="","",IF(M135="","",ROUND(M135*'FREQUÊNCIA INDÚSTRIA'!$B$2,1)))</f>
        <v>8</v>
      </c>
    </row>
    <row r="136" ht="15.75" customHeight="1">
      <c r="B136" s="6" t="s">
        <v>22</v>
      </c>
      <c r="C136" s="6" t="s">
        <v>122</v>
      </c>
      <c r="D136" s="2" t="s">
        <v>24</v>
      </c>
      <c r="E136" s="2" t="s">
        <v>121</v>
      </c>
      <c r="I136" s="3" t="s">
        <v>17</v>
      </c>
      <c r="J136" s="4"/>
      <c r="K136" s="3" t="s">
        <v>17</v>
      </c>
      <c r="M136" s="5">
        <f t="shared" si="1"/>
        <v>2</v>
      </c>
      <c r="N136" s="5">
        <f>IF(B136="","",IF(M136="","",ROUND(M136*'FREQUÊNCIA INDÚSTRIA'!$B$2,1)))</f>
        <v>8</v>
      </c>
    </row>
    <row r="137" ht="15.75" customHeight="1">
      <c r="B137" s="2" t="s">
        <v>36</v>
      </c>
      <c r="C137" s="6" t="s">
        <v>123</v>
      </c>
      <c r="D137" s="2" t="s">
        <v>24</v>
      </c>
      <c r="E137" s="2" t="s">
        <v>121</v>
      </c>
      <c r="G137" s="3" t="s">
        <v>17</v>
      </c>
      <c r="J137" s="4"/>
      <c r="M137" s="5">
        <f t="shared" si="1"/>
        <v>1</v>
      </c>
      <c r="N137" s="5">
        <f>IF(B137="","",IF(M137="","",ROUND(M137*'FREQUÊNCIA INDÚSTRIA'!$B$2,1)))</f>
        <v>4</v>
      </c>
    </row>
    <row r="138" ht="15.75" customHeight="1">
      <c r="B138" s="2" t="s">
        <v>36</v>
      </c>
      <c r="C138" s="6" t="s">
        <v>124</v>
      </c>
      <c r="D138" s="2" t="s">
        <v>24</v>
      </c>
      <c r="E138" s="2" t="s">
        <v>121</v>
      </c>
      <c r="H138" s="3" t="s">
        <v>17</v>
      </c>
      <c r="J138" s="4"/>
      <c r="M138" s="5">
        <f t="shared" si="1"/>
        <v>1</v>
      </c>
      <c r="N138" s="5">
        <f>IF(B138="","",IF(M138="","",ROUND(M138*'FREQUÊNCIA INDÚSTRIA'!$B$2,1)))</f>
        <v>4</v>
      </c>
    </row>
    <row r="139" ht="15.75" customHeight="1">
      <c r="B139" s="2" t="s">
        <v>36</v>
      </c>
      <c r="C139" s="6" t="s">
        <v>125</v>
      </c>
      <c r="D139" s="2" t="s">
        <v>24</v>
      </c>
      <c r="E139" s="2" t="s">
        <v>121</v>
      </c>
      <c r="F139" s="3" t="s">
        <v>17</v>
      </c>
      <c r="J139" s="4"/>
      <c r="M139" s="5">
        <f t="shared" si="1"/>
        <v>1</v>
      </c>
      <c r="N139" s="5">
        <f>IF(B139="","",IF(M139="","",ROUND(M139*'FREQUÊNCIA INDÚSTRIA'!$B$2,1)))</f>
        <v>4</v>
      </c>
    </row>
    <row r="140" ht="15.75" customHeight="1">
      <c r="B140" s="2" t="s">
        <v>36</v>
      </c>
      <c r="C140" s="6" t="s">
        <v>126</v>
      </c>
      <c r="D140" s="2" t="s">
        <v>24</v>
      </c>
      <c r="E140" s="2" t="s">
        <v>121</v>
      </c>
      <c r="J140" s="4"/>
      <c r="K140" s="3" t="s">
        <v>17</v>
      </c>
      <c r="M140" s="5">
        <f t="shared" si="1"/>
        <v>1</v>
      </c>
      <c r="N140" s="5">
        <f>IF(B140="","",IF(M140="","",ROUND(M140*'FREQUÊNCIA INDÚSTRIA'!$B$2,1)))</f>
        <v>4</v>
      </c>
    </row>
    <row r="141" ht="15.75" customHeight="1">
      <c r="B141" s="2" t="s">
        <v>36</v>
      </c>
      <c r="C141" s="6" t="s">
        <v>122</v>
      </c>
      <c r="D141" s="2" t="s">
        <v>24</v>
      </c>
      <c r="E141" s="2" t="s">
        <v>121</v>
      </c>
      <c r="H141" s="3" t="s">
        <v>17</v>
      </c>
      <c r="J141" s="4"/>
      <c r="M141" s="5">
        <f t="shared" si="1"/>
        <v>1</v>
      </c>
      <c r="N141" s="5">
        <f>IF(B141="","",IF(M141="","",ROUND(M141*'FREQUÊNCIA INDÚSTRIA'!$B$2,1)))</f>
        <v>4</v>
      </c>
    </row>
    <row r="142" ht="15.75" customHeight="1">
      <c r="B142" s="2" t="s">
        <v>36</v>
      </c>
      <c r="C142" s="6" t="s">
        <v>127</v>
      </c>
      <c r="D142" s="2" t="s">
        <v>24</v>
      </c>
      <c r="E142" s="2" t="s">
        <v>121</v>
      </c>
      <c r="I142" s="3" t="s">
        <v>17</v>
      </c>
      <c r="J142" s="4"/>
      <c r="M142" s="5">
        <f t="shared" si="1"/>
        <v>1</v>
      </c>
      <c r="N142" s="5">
        <f>IF(B142="","",IF(M142="","",ROUND(M142*'FREQUÊNCIA INDÚSTRIA'!$B$2,1)))</f>
        <v>4</v>
      </c>
    </row>
    <row r="143" ht="15.75" customHeight="1">
      <c r="B143" s="2" t="s">
        <v>36</v>
      </c>
      <c r="C143" s="6" t="s">
        <v>128</v>
      </c>
      <c r="D143" s="2" t="s">
        <v>24</v>
      </c>
      <c r="E143" s="2" t="s">
        <v>121</v>
      </c>
      <c r="G143" s="3" t="s">
        <v>17</v>
      </c>
      <c r="J143" s="4"/>
      <c r="M143" s="5">
        <f t="shared" si="1"/>
        <v>1</v>
      </c>
      <c r="N143" s="5">
        <f>IF(B143="","",IF(M143="","",ROUND(M143*'FREQUÊNCIA INDÚSTRIA'!$B$2,1)))</f>
        <v>4</v>
      </c>
    </row>
    <row r="144" ht="15.75" customHeight="1">
      <c r="B144" s="2" t="s">
        <v>36</v>
      </c>
      <c r="C144" s="6" t="s">
        <v>129</v>
      </c>
      <c r="D144" s="2" t="s">
        <v>24</v>
      </c>
      <c r="E144" s="2" t="s">
        <v>121</v>
      </c>
      <c r="F144" s="3" t="s">
        <v>17</v>
      </c>
      <c r="J144" s="4"/>
      <c r="M144" s="5">
        <f t="shared" si="1"/>
        <v>1</v>
      </c>
      <c r="N144" s="5">
        <f>IF(B144="","",IF(M144="","",ROUND(M144*'FREQUÊNCIA INDÚSTRIA'!$B$2,1)))</f>
        <v>4</v>
      </c>
    </row>
    <row r="145" ht="15.75" customHeight="1">
      <c r="B145" s="2" t="s">
        <v>36</v>
      </c>
      <c r="C145" s="6" t="s">
        <v>130</v>
      </c>
      <c r="D145" s="2" t="s">
        <v>24</v>
      </c>
      <c r="E145" s="2" t="s">
        <v>121</v>
      </c>
      <c r="F145" s="3" t="s">
        <v>17</v>
      </c>
      <c r="J145" s="3" t="s">
        <v>17</v>
      </c>
      <c r="M145" s="5">
        <f t="shared" si="1"/>
        <v>2</v>
      </c>
      <c r="N145" s="5">
        <f>IF(B145="","",IF(M145="","",ROUND(M145*'FREQUÊNCIA INDÚSTRIA'!$B$2,1)))</f>
        <v>8</v>
      </c>
    </row>
    <row r="146" ht="15.75" customHeight="1">
      <c r="B146" s="2" t="s">
        <v>36</v>
      </c>
      <c r="C146" s="6" t="s">
        <v>131</v>
      </c>
      <c r="D146" s="2" t="s">
        <v>24</v>
      </c>
      <c r="E146" s="2" t="s">
        <v>121</v>
      </c>
      <c r="J146" s="3" t="s">
        <v>17</v>
      </c>
      <c r="M146" s="5">
        <f t="shared" si="1"/>
        <v>1</v>
      </c>
      <c r="N146" s="5">
        <f>IF(B146="","",IF(M146="","",ROUND(M146*'FREQUÊNCIA INDÚSTRIA'!$B$2,1)))</f>
        <v>4</v>
      </c>
    </row>
    <row r="147" ht="15.75" customHeight="1">
      <c r="B147" s="2" t="s">
        <v>36</v>
      </c>
      <c r="C147" s="6" t="s">
        <v>132</v>
      </c>
      <c r="D147" s="2" t="s">
        <v>24</v>
      </c>
      <c r="E147" s="2" t="s">
        <v>121</v>
      </c>
      <c r="I147" s="3" t="s">
        <v>17</v>
      </c>
      <c r="J147" s="4"/>
      <c r="M147" s="5">
        <f t="shared" si="1"/>
        <v>1</v>
      </c>
      <c r="N147" s="5">
        <f>IF(B147="","",IF(M147="","",ROUND(M147*'FREQUÊNCIA INDÚSTRIA'!$B$2,1)))</f>
        <v>4</v>
      </c>
    </row>
    <row r="148" ht="15.75" customHeight="1">
      <c r="B148" s="2" t="s">
        <v>73</v>
      </c>
      <c r="C148" s="6" t="s">
        <v>133</v>
      </c>
      <c r="D148" s="2" t="s">
        <v>24</v>
      </c>
      <c r="E148" s="2" t="s">
        <v>121</v>
      </c>
      <c r="I148" s="3" t="s">
        <v>17</v>
      </c>
      <c r="J148" s="4"/>
      <c r="M148" s="5">
        <f t="shared" si="1"/>
        <v>1</v>
      </c>
      <c r="N148" s="5">
        <f>IF(B148="","",IF(M148="","",ROUND(M148*'FREQUÊNCIA INDÚSTRIA'!$B$2,1)))</f>
        <v>4</v>
      </c>
    </row>
    <row r="149" ht="15.75" customHeight="1">
      <c r="B149" s="2" t="s">
        <v>73</v>
      </c>
      <c r="C149" s="6" t="s">
        <v>120</v>
      </c>
      <c r="D149" s="2" t="s">
        <v>24</v>
      </c>
      <c r="E149" s="2" t="s">
        <v>121</v>
      </c>
      <c r="I149" s="3" t="s">
        <v>17</v>
      </c>
      <c r="J149" s="4"/>
      <c r="M149" s="5">
        <f t="shared" si="1"/>
        <v>1</v>
      </c>
      <c r="N149" s="5">
        <f>IF(B149="","",IF(M149="","",ROUND(M149*'FREQUÊNCIA INDÚSTRIA'!$B$2,1)))</f>
        <v>4</v>
      </c>
    </row>
    <row r="150" ht="15.75" customHeight="1">
      <c r="B150" s="2" t="s">
        <v>73</v>
      </c>
      <c r="C150" s="6" t="s">
        <v>122</v>
      </c>
      <c r="D150" s="2" t="s">
        <v>24</v>
      </c>
      <c r="E150" s="2" t="s">
        <v>121</v>
      </c>
      <c r="J150" s="4"/>
      <c r="K150" s="3" t="s">
        <v>17</v>
      </c>
      <c r="M150" s="5">
        <f t="shared" si="1"/>
        <v>1</v>
      </c>
      <c r="N150" s="5">
        <f>IF(B150="","",IF(M150="","",ROUND(M150*'FREQUÊNCIA INDÚSTRIA'!$B$2,1)))</f>
        <v>4</v>
      </c>
    </row>
    <row r="151" ht="15.75" customHeight="1">
      <c r="B151" s="2" t="s">
        <v>73</v>
      </c>
      <c r="C151" s="6" t="s">
        <v>125</v>
      </c>
      <c r="D151" s="2" t="s">
        <v>24</v>
      </c>
      <c r="E151" s="2" t="s">
        <v>121</v>
      </c>
      <c r="H151" s="3" t="s">
        <v>17</v>
      </c>
      <c r="J151" s="4"/>
      <c r="M151" s="5">
        <f t="shared" si="1"/>
        <v>1</v>
      </c>
      <c r="N151" s="5">
        <f>IF(B151="","",IF(M151="","",ROUND(M151*'FREQUÊNCIA INDÚSTRIA'!$B$2,1)))</f>
        <v>4</v>
      </c>
    </row>
    <row r="152" ht="15.75" customHeight="1">
      <c r="B152" s="2" t="s">
        <v>73</v>
      </c>
      <c r="C152" s="6" t="s">
        <v>126</v>
      </c>
      <c r="D152" s="2" t="s">
        <v>24</v>
      </c>
      <c r="E152" s="2" t="s">
        <v>121</v>
      </c>
      <c r="F152" s="3" t="s">
        <v>17</v>
      </c>
      <c r="J152" s="4"/>
      <c r="M152" s="5">
        <f t="shared" si="1"/>
        <v>1</v>
      </c>
      <c r="N152" s="5">
        <f>IF(B152="","",IF(M152="","",ROUND(M152*'FREQUÊNCIA INDÚSTRIA'!$B$2,1)))</f>
        <v>4</v>
      </c>
    </row>
    <row r="153" ht="15.75" customHeight="1">
      <c r="B153" s="8" t="s">
        <v>43</v>
      </c>
      <c r="C153" s="8" t="s">
        <v>134</v>
      </c>
      <c r="D153" s="8" t="s">
        <v>24</v>
      </c>
      <c r="E153" s="8" t="s">
        <v>135</v>
      </c>
      <c r="G153" s="3" t="s">
        <v>17</v>
      </c>
      <c r="H153" s="3"/>
      <c r="J153" s="4"/>
      <c r="M153" s="5">
        <f t="shared" si="1"/>
        <v>1</v>
      </c>
      <c r="N153" s="5">
        <f>IF(B153="","",IF(M153="","",ROUND(M153*'FREQUÊNCIA INDÚSTRIA'!$B$2,1)))</f>
        <v>4</v>
      </c>
    </row>
    <row r="154" ht="15.75" customHeight="1">
      <c r="B154" s="2" t="s">
        <v>42</v>
      </c>
      <c r="C154" s="2" t="s">
        <v>136</v>
      </c>
      <c r="D154" s="2" t="s">
        <v>24</v>
      </c>
      <c r="E154" s="2" t="s">
        <v>135</v>
      </c>
      <c r="H154" s="3" t="s">
        <v>17</v>
      </c>
      <c r="J154" s="4"/>
      <c r="M154" s="5">
        <f t="shared" si="1"/>
        <v>1</v>
      </c>
      <c r="N154" s="5">
        <f>IF(B154="","",IF(M154="","",ROUND(M154*'FREQUÊNCIA INDÚSTRIA'!$B$2,1)))</f>
        <v>4</v>
      </c>
    </row>
    <row r="155" ht="15.75" customHeight="1">
      <c r="B155" s="2" t="s">
        <v>56</v>
      </c>
      <c r="C155" s="2" t="s">
        <v>134</v>
      </c>
      <c r="D155" s="2" t="s">
        <v>24</v>
      </c>
      <c r="E155" s="2" t="s">
        <v>135</v>
      </c>
      <c r="I155" s="3" t="s">
        <v>17</v>
      </c>
      <c r="J155" s="4"/>
      <c r="M155" s="5">
        <f t="shared" si="1"/>
        <v>1</v>
      </c>
      <c r="N155" s="5">
        <f>IF(B155="","",IF(M155="","",ROUND(M155*'FREQUÊNCIA INDÚSTRIA'!$B$2,1)))</f>
        <v>4</v>
      </c>
    </row>
    <row r="156" ht="15.75" customHeight="1">
      <c r="B156" s="2" t="s">
        <v>13</v>
      </c>
      <c r="C156" s="2" t="s">
        <v>137</v>
      </c>
      <c r="D156" s="2" t="s">
        <v>15</v>
      </c>
      <c r="E156" s="2" t="s">
        <v>138</v>
      </c>
      <c r="G156" s="3" t="s">
        <v>17</v>
      </c>
      <c r="J156" s="4"/>
      <c r="M156" s="5">
        <f t="shared" si="1"/>
        <v>1</v>
      </c>
      <c r="N156" s="5">
        <f>IF(B156="","",IF(M156="","",ROUND(M156*'FREQUÊNCIA INDÚSTRIA'!$B$2,1)))</f>
        <v>4</v>
      </c>
    </row>
    <row r="157" ht="15.75" customHeight="1">
      <c r="B157" s="2" t="s">
        <v>13</v>
      </c>
      <c r="C157" s="2" t="s">
        <v>139</v>
      </c>
      <c r="D157" s="2" t="s">
        <v>15</v>
      </c>
      <c r="E157" s="2" t="s">
        <v>138</v>
      </c>
      <c r="G157" s="3" t="s">
        <v>17</v>
      </c>
      <c r="J157" s="4"/>
      <c r="M157" s="5">
        <f t="shared" si="1"/>
        <v>1</v>
      </c>
      <c r="N157" s="5">
        <f>IF(B157="","",IF(M157="","",ROUND(M157*'FREQUÊNCIA INDÚSTRIA'!$B$2,1)))</f>
        <v>4</v>
      </c>
    </row>
    <row r="158" ht="15.75" customHeight="1">
      <c r="B158" s="2" t="s">
        <v>13</v>
      </c>
      <c r="C158" s="2" t="s">
        <v>140</v>
      </c>
      <c r="D158" s="2" t="s">
        <v>15</v>
      </c>
      <c r="E158" s="2" t="s">
        <v>138</v>
      </c>
      <c r="H158" s="3" t="s">
        <v>17</v>
      </c>
      <c r="J158" s="4"/>
      <c r="M158" s="5">
        <f t="shared" si="1"/>
        <v>1</v>
      </c>
      <c r="N158" s="5">
        <f>IF(B158="","",IF(M158="","",ROUND(M158*'FREQUÊNCIA INDÚSTRIA'!$B$2,1)))</f>
        <v>4</v>
      </c>
    </row>
    <row r="159" ht="15.75" customHeight="1">
      <c r="B159" s="2" t="s">
        <v>13</v>
      </c>
      <c r="C159" s="2" t="s">
        <v>141</v>
      </c>
      <c r="D159" s="2" t="s">
        <v>15</v>
      </c>
      <c r="E159" s="2" t="s">
        <v>138</v>
      </c>
      <c r="G159" s="3" t="s">
        <v>17</v>
      </c>
      <c r="J159" s="4"/>
      <c r="M159" s="5">
        <f t="shared" si="1"/>
        <v>1</v>
      </c>
      <c r="N159" s="5">
        <f>IF(B159="","",IF(M159="","",ROUND(M159*'FREQUÊNCIA INDÚSTRIA'!$B$2,1)))</f>
        <v>4</v>
      </c>
    </row>
    <row r="160" ht="15.75" customHeight="1">
      <c r="B160" s="2" t="s">
        <v>13</v>
      </c>
      <c r="C160" s="2" t="s">
        <v>142</v>
      </c>
      <c r="D160" s="2" t="s">
        <v>15</v>
      </c>
      <c r="E160" s="2" t="s">
        <v>138</v>
      </c>
      <c r="F160" s="3" t="s">
        <v>17</v>
      </c>
      <c r="J160" s="4"/>
      <c r="M160" s="5">
        <f t="shared" si="1"/>
        <v>1</v>
      </c>
      <c r="N160" s="5">
        <f>IF(B160="","",IF(M160="","",ROUND(M160*'FREQUÊNCIA INDÚSTRIA'!$B$2,1)))</f>
        <v>4</v>
      </c>
    </row>
    <row r="161" ht="15.75" customHeight="1">
      <c r="B161" s="2" t="s">
        <v>13</v>
      </c>
      <c r="C161" s="6" t="s">
        <v>143</v>
      </c>
      <c r="D161" s="2" t="s">
        <v>15</v>
      </c>
      <c r="E161" s="2" t="s">
        <v>138</v>
      </c>
      <c r="I161" s="3" t="s">
        <v>17</v>
      </c>
      <c r="J161" s="4"/>
      <c r="M161" s="5">
        <f t="shared" si="1"/>
        <v>1</v>
      </c>
      <c r="N161" s="5">
        <f>IF(B161="","",IF(M161="","",ROUND(M161*'FREQUÊNCIA INDÚSTRIA'!$B$2,1)))</f>
        <v>4</v>
      </c>
    </row>
    <row r="162" ht="15.75" customHeight="1">
      <c r="B162" s="2" t="s">
        <v>13</v>
      </c>
      <c r="C162" s="2" t="s">
        <v>144</v>
      </c>
      <c r="D162" s="2" t="s">
        <v>15</v>
      </c>
      <c r="E162" s="2" t="s">
        <v>138</v>
      </c>
      <c r="H162" s="3" t="s">
        <v>17</v>
      </c>
      <c r="J162" s="4"/>
      <c r="M162" s="5">
        <f t="shared" si="1"/>
        <v>1</v>
      </c>
      <c r="N162" s="5">
        <f>IF(B162="","",IF(M162="","",ROUND(M162*'FREQUÊNCIA INDÚSTRIA'!$B$2,1)))</f>
        <v>4</v>
      </c>
    </row>
    <row r="163" ht="15.75" customHeight="1">
      <c r="B163" s="6" t="s">
        <v>22</v>
      </c>
      <c r="C163" s="6" t="s">
        <v>145</v>
      </c>
      <c r="D163" s="2" t="s">
        <v>24</v>
      </c>
      <c r="E163" s="2" t="s">
        <v>146</v>
      </c>
      <c r="F163" s="3" t="s">
        <v>17</v>
      </c>
      <c r="J163" s="4"/>
      <c r="M163" s="5">
        <f t="shared" si="1"/>
        <v>1</v>
      </c>
      <c r="N163" s="5">
        <f>IF(B163="","",IF(M163="","",ROUND(M163*'FREQUÊNCIA INDÚSTRIA'!$B$2,1)))</f>
        <v>4</v>
      </c>
    </row>
    <row r="164" ht="15.75" customHeight="1">
      <c r="B164" s="6" t="s">
        <v>22</v>
      </c>
      <c r="C164" s="6" t="s">
        <v>147</v>
      </c>
      <c r="D164" s="2" t="s">
        <v>24</v>
      </c>
      <c r="E164" s="2" t="s">
        <v>146</v>
      </c>
      <c r="F164" s="3" t="s">
        <v>17</v>
      </c>
      <c r="J164" s="4"/>
      <c r="M164" s="5">
        <f t="shared" si="1"/>
        <v>1</v>
      </c>
      <c r="N164" s="5">
        <f>IF(B164="","",IF(M164="","",ROUND(M164*'FREQUÊNCIA INDÚSTRIA'!$B$2,1)))</f>
        <v>4</v>
      </c>
    </row>
    <row r="165" ht="15.75" customHeight="1">
      <c r="B165" s="6" t="s">
        <v>22</v>
      </c>
      <c r="C165" s="6" t="s">
        <v>148</v>
      </c>
      <c r="D165" s="2" t="s">
        <v>24</v>
      </c>
      <c r="E165" s="2" t="s">
        <v>146</v>
      </c>
      <c r="F165" s="3" t="s">
        <v>17</v>
      </c>
      <c r="J165" s="4"/>
      <c r="M165" s="5">
        <f t="shared" si="1"/>
        <v>1</v>
      </c>
      <c r="N165" s="5">
        <f>IF(B165="","",IF(M165="","",ROUND(M165*'FREQUÊNCIA INDÚSTRIA'!$B$2,1)))</f>
        <v>4</v>
      </c>
    </row>
    <row r="166" ht="15.75" customHeight="1">
      <c r="B166" s="6" t="s">
        <v>22</v>
      </c>
      <c r="C166" s="6" t="s">
        <v>149</v>
      </c>
      <c r="D166" s="2" t="s">
        <v>24</v>
      </c>
      <c r="E166" s="2" t="s">
        <v>146</v>
      </c>
      <c r="G166" s="3" t="s">
        <v>17</v>
      </c>
      <c r="J166" s="4"/>
      <c r="M166" s="5">
        <f t="shared" si="1"/>
        <v>1</v>
      </c>
      <c r="N166" s="5">
        <f>IF(B166="","",IF(M166="","",ROUND(M166*'FREQUÊNCIA INDÚSTRIA'!$B$2,1)))</f>
        <v>4</v>
      </c>
    </row>
    <row r="167" ht="15.75" customHeight="1">
      <c r="B167" s="6" t="s">
        <v>22</v>
      </c>
      <c r="C167" s="6" t="s">
        <v>150</v>
      </c>
      <c r="D167" s="2" t="s">
        <v>24</v>
      </c>
      <c r="E167" s="2" t="s">
        <v>146</v>
      </c>
      <c r="H167" s="3" t="s">
        <v>17</v>
      </c>
      <c r="J167" s="4"/>
      <c r="M167" s="5">
        <f t="shared" si="1"/>
        <v>1</v>
      </c>
      <c r="N167" s="5">
        <f>IF(B167="","",IF(M167="","",ROUND(M167*'FREQUÊNCIA INDÚSTRIA'!$B$2,1)))</f>
        <v>4</v>
      </c>
    </row>
    <row r="168" ht="15.75" customHeight="1">
      <c r="B168" s="6" t="s">
        <v>22</v>
      </c>
      <c r="C168" s="6" t="s">
        <v>151</v>
      </c>
      <c r="D168" s="2" t="s">
        <v>24</v>
      </c>
      <c r="E168" s="2" t="s">
        <v>146</v>
      </c>
      <c r="H168" s="3" t="s">
        <v>17</v>
      </c>
      <c r="J168" s="4"/>
      <c r="M168" s="5">
        <f t="shared" si="1"/>
        <v>1</v>
      </c>
      <c r="N168" s="5">
        <f>IF(B168="","",IF(M168="","",ROUND(M168*'FREQUÊNCIA INDÚSTRIA'!$B$2,1)))</f>
        <v>4</v>
      </c>
    </row>
    <row r="169" ht="15.75" customHeight="1">
      <c r="B169" s="6" t="s">
        <v>73</v>
      </c>
      <c r="C169" s="6" t="s">
        <v>145</v>
      </c>
      <c r="D169" s="2" t="s">
        <v>24</v>
      </c>
      <c r="E169" s="2" t="s">
        <v>146</v>
      </c>
      <c r="F169" s="3" t="s">
        <v>17</v>
      </c>
      <c r="J169" s="4"/>
      <c r="M169" s="5">
        <f t="shared" si="1"/>
        <v>1</v>
      </c>
      <c r="N169" s="5">
        <f>IF(B169="","",IF(M169="","",ROUND(M169*'FREQUÊNCIA INDÚSTRIA'!$B$2,1)))</f>
        <v>4</v>
      </c>
    </row>
    <row r="170" ht="15.75" customHeight="1">
      <c r="B170" s="6" t="s">
        <v>73</v>
      </c>
      <c r="C170" s="6" t="s">
        <v>152</v>
      </c>
      <c r="D170" s="2" t="s">
        <v>24</v>
      </c>
      <c r="E170" s="2" t="s">
        <v>146</v>
      </c>
      <c r="F170" s="3" t="s">
        <v>17</v>
      </c>
      <c r="J170" s="4"/>
      <c r="M170" s="5">
        <f t="shared" si="1"/>
        <v>1</v>
      </c>
      <c r="N170" s="5">
        <f>IF(B170="","",IF(M170="","",ROUND(M170*'FREQUÊNCIA INDÚSTRIA'!$B$2,1)))</f>
        <v>4</v>
      </c>
    </row>
    <row r="171" ht="15.75" customHeight="1">
      <c r="B171" s="6" t="s">
        <v>73</v>
      </c>
      <c r="C171" s="2" t="s">
        <v>153</v>
      </c>
      <c r="D171" s="2" t="s">
        <v>24</v>
      </c>
      <c r="E171" s="2" t="s">
        <v>146</v>
      </c>
      <c r="G171" s="3" t="s">
        <v>17</v>
      </c>
      <c r="J171" s="4"/>
      <c r="M171" s="5">
        <f t="shared" si="1"/>
        <v>1</v>
      </c>
      <c r="N171" s="5">
        <f>IF(B171="","",IF(M171="","",ROUND(M171*'FREQUÊNCIA INDÚSTRIA'!$B$2,1)))</f>
        <v>4</v>
      </c>
    </row>
    <row r="172" ht="15.75" customHeight="1">
      <c r="B172" s="6" t="s">
        <v>73</v>
      </c>
      <c r="C172" s="2" t="s">
        <v>154</v>
      </c>
      <c r="D172" s="2" t="s">
        <v>24</v>
      </c>
      <c r="E172" s="2" t="s">
        <v>146</v>
      </c>
      <c r="G172" s="3" t="s">
        <v>17</v>
      </c>
      <c r="J172" s="4"/>
      <c r="M172" s="5">
        <f t="shared" si="1"/>
        <v>1</v>
      </c>
      <c r="N172" s="5">
        <f>IF(B172="","",IF(M172="","",ROUND(M172*'FREQUÊNCIA INDÚSTRIA'!$B$2,1)))</f>
        <v>4</v>
      </c>
    </row>
    <row r="173" ht="15.75" customHeight="1">
      <c r="B173" s="6" t="s">
        <v>73</v>
      </c>
      <c r="C173" s="2" t="s">
        <v>155</v>
      </c>
      <c r="D173" s="2" t="s">
        <v>24</v>
      </c>
      <c r="E173" s="2" t="s">
        <v>146</v>
      </c>
      <c r="G173" s="3" t="s">
        <v>17</v>
      </c>
      <c r="J173" s="4"/>
      <c r="M173" s="5">
        <f t="shared" si="1"/>
        <v>1</v>
      </c>
      <c r="N173" s="5">
        <f>IF(B173="","",IF(M173="","",ROUND(M173*'FREQUÊNCIA INDÚSTRIA'!$B$2,1)))</f>
        <v>4</v>
      </c>
    </row>
    <row r="174" ht="15.75" customHeight="1">
      <c r="B174" s="6" t="s">
        <v>73</v>
      </c>
      <c r="C174" s="2" t="s">
        <v>156</v>
      </c>
      <c r="D174" s="2" t="s">
        <v>24</v>
      </c>
      <c r="E174" s="2" t="s">
        <v>146</v>
      </c>
      <c r="H174" s="3" t="s">
        <v>17</v>
      </c>
      <c r="J174" s="4"/>
      <c r="M174" s="5">
        <f t="shared" si="1"/>
        <v>1</v>
      </c>
      <c r="N174" s="5">
        <f>IF(B174="","",IF(M174="","",ROUND(M174*'FREQUÊNCIA INDÚSTRIA'!$B$2,1)))</f>
        <v>4</v>
      </c>
    </row>
    <row r="175" ht="15.75" customHeight="1">
      <c r="B175" s="6" t="s">
        <v>73</v>
      </c>
      <c r="C175" s="2" t="s">
        <v>157</v>
      </c>
      <c r="D175" s="2" t="s">
        <v>24</v>
      </c>
      <c r="E175" s="2" t="s">
        <v>146</v>
      </c>
      <c r="H175" s="3" t="s">
        <v>17</v>
      </c>
      <c r="J175" s="4"/>
      <c r="M175" s="5">
        <f t="shared" si="1"/>
        <v>1</v>
      </c>
      <c r="N175" s="5">
        <f>IF(B175="","",IF(M175="","",ROUND(M175*'FREQUÊNCIA INDÚSTRIA'!$B$2,1)))</f>
        <v>4</v>
      </c>
    </row>
    <row r="176" ht="15.75" customHeight="1">
      <c r="B176" s="6" t="s">
        <v>73</v>
      </c>
      <c r="C176" s="2" t="s">
        <v>158</v>
      </c>
      <c r="D176" s="2" t="s">
        <v>24</v>
      </c>
      <c r="E176" s="2" t="s">
        <v>146</v>
      </c>
      <c r="I176" s="3" t="s">
        <v>17</v>
      </c>
      <c r="J176" s="4"/>
      <c r="M176" s="5">
        <f t="shared" si="1"/>
        <v>1</v>
      </c>
      <c r="N176" s="5">
        <f>IF(B176="","",IF(M176="","",ROUND(M176*'FREQUÊNCIA INDÚSTRIA'!$B$2,1)))</f>
        <v>4</v>
      </c>
    </row>
    <row r="177" ht="15.75" customHeight="1">
      <c r="B177" s="6" t="s">
        <v>73</v>
      </c>
      <c r="C177" s="2" t="s">
        <v>159</v>
      </c>
      <c r="D177" s="2" t="s">
        <v>24</v>
      </c>
      <c r="E177" s="2" t="s">
        <v>146</v>
      </c>
      <c r="I177" s="3" t="s">
        <v>17</v>
      </c>
      <c r="J177" s="4"/>
      <c r="M177" s="5">
        <f t="shared" si="1"/>
        <v>1</v>
      </c>
      <c r="N177" s="5">
        <f>IF(B177="","",IF(M177="","",ROUND(M177*'FREQUÊNCIA INDÚSTRIA'!$B$2,1)))</f>
        <v>4</v>
      </c>
    </row>
    <row r="178" ht="15.75" customHeight="1">
      <c r="B178" s="6" t="s">
        <v>73</v>
      </c>
      <c r="C178" s="2" t="s">
        <v>160</v>
      </c>
      <c r="D178" s="2" t="s">
        <v>24</v>
      </c>
      <c r="E178" s="2" t="s">
        <v>146</v>
      </c>
      <c r="I178" s="3" t="s">
        <v>17</v>
      </c>
      <c r="J178" s="4"/>
      <c r="M178" s="5">
        <f t="shared" si="1"/>
        <v>1</v>
      </c>
      <c r="N178" s="5">
        <f>IF(B178="","",IF(M178="","",ROUND(M178*'FREQUÊNCIA INDÚSTRIA'!$B$2,1)))</f>
        <v>4</v>
      </c>
    </row>
    <row r="179" ht="15.75" customHeight="1">
      <c r="B179" s="6" t="s">
        <v>73</v>
      </c>
      <c r="C179" s="2" t="s">
        <v>161</v>
      </c>
      <c r="D179" s="2" t="s">
        <v>24</v>
      </c>
      <c r="E179" s="2" t="s">
        <v>146</v>
      </c>
      <c r="J179" s="3" t="s">
        <v>17</v>
      </c>
      <c r="M179" s="5">
        <f t="shared" si="1"/>
        <v>1</v>
      </c>
      <c r="N179" s="5">
        <f>IF(B179="","",IF(M179="","",ROUND(M179*'FREQUÊNCIA INDÚSTRIA'!$B$2,1)))</f>
        <v>4</v>
      </c>
    </row>
    <row r="180" ht="15.75" customHeight="1">
      <c r="B180" s="6" t="s">
        <v>73</v>
      </c>
      <c r="C180" s="2" t="s">
        <v>162</v>
      </c>
      <c r="D180" s="2" t="s">
        <v>24</v>
      </c>
      <c r="E180" s="2" t="s">
        <v>146</v>
      </c>
      <c r="J180" s="3" t="s">
        <v>17</v>
      </c>
      <c r="M180" s="5">
        <f t="shared" si="1"/>
        <v>1</v>
      </c>
      <c r="N180" s="5">
        <f>IF(B180="","",IF(M180="","",ROUND(M180*'FREQUÊNCIA INDÚSTRIA'!$B$2,1)))</f>
        <v>4</v>
      </c>
    </row>
    <row r="181" ht="15.75" customHeight="1">
      <c r="B181" s="6" t="s">
        <v>73</v>
      </c>
      <c r="C181" s="2" t="s">
        <v>156</v>
      </c>
      <c r="D181" s="2" t="s">
        <v>24</v>
      </c>
      <c r="E181" s="2" t="s">
        <v>146</v>
      </c>
      <c r="J181" s="3" t="s">
        <v>17</v>
      </c>
      <c r="M181" s="5">
        <f t="shared" si="1"/>
        <v>1</v>
      </c>
      <c r="N181" s="5">
        <f>IF(B181="","",IF(M181="","",ROUND(M181*'FREQUÊNCIA INDÚSTRIA'!$B$2,1)))</f>
        <v>4</v>
      </c>
    </row>
    <row r="182" ht="15.75" customHeight="1">
      <c r="B182" s="6" t="s">
        <v>73</v>
      </c>
      <c r="C182" s="2" t="s">
        <v>163</v>
      </c>
      <c r="D182" s="2" t="s">
        <v>24</v>
      </c>
      <c r="E182" s="2" t="s">
        <v>146</v>
      </c>
      <c r="J182" s="4"/>
      <c r="K182" s="3" t="s">
        <v>17</v>
      </c>
      <c r="M182" s="5">
        <f t="shared" si="1"/>
        <v>1</v>
      </c>
      <c r="N182" s="5">
        <f>IF(B182="","",IF(M182="","",ROUND(M182*'FREQUÊNCIA INDÚSTRIA'!$B$2,1)))</f>
        <v>4</v>
      </c>
    </row>
    <row r="183" ht="15.75" customHeight="1">
      <c r="B183" s="2" t="s">
        <v>36</v>
      </c>
      <c r="C183" s="2" t="s">
        <v>145</v>
      </c>
      <c r="D183" s="2" t="s">
        <v>24</v>
      </c>
      <c r="E183" s="2" t="s">
        <v>146</v>
      </c>
      <c r="F183" s="3" t="s">
        <v>17</v>
      </c>
      <c r="J183" s="4"/>
      <c r="M183" s="5">
        <f t="shared" si="1"/>
        <v>1</v>
      </c>
      <c r="N183" s="5">
        <f>IF(B183="","",IF(M183="","",ROUND(M183*'FREQUÊNCIA INDÚSTRIA'!$B$2,1)))</f>
        <v>4</v>
      </c>
    </row>
    <row r="184" ht="15.75" customHeight="1">
      <c r="B184" s="2" t="s">
        <v>36</v>
      </c>
      <c r="C184" s="2" t="s">
        <v>153</v>
      </c>
      <c r="D184" s="2" t="s">
        <v>24</v>
      </c>
      <c r="E184" s="2" t="s">
        <v>146</v>
      </c>
      <c r="G184" s="3" t="s">
        <v>17</v>
      </c>
      <c r="J184" s="4"/>
      <c r="M184" s="5">
        <f t="shared" si="1"/>
        <v>1</v>
      </c>
      <c r="N184" s="5">
        <f>IF(B184="","",IF(M184="","",ROUND(M184*'FREQUÊNCIA INDÚSTRIA'!$B$2,1)))</f>
        <v>4</v>
      </c>
    </row>
    <row r="185" ht="15.75" customHeight="1">
      <c r="B185" s="2" t="s">
        <v>36</v>
      </c>
      <c r="C185" s="2" t="s">
        <v>154</v>
      </c>
      <c r="D185" s="2" t="s">
        <v>24</v>
      </c>
      <c r="E185" s="2" t="s">
        <v>146</v>
      </c>
      <c r="G185" s="3" t="s">
        <v>17</v>
      </c>
      <c r="J185" s="4"/>
      <c r="M185" s="5">
        <f t="shared" si="1"/>
        <v>1</v>
      </c>
      <c r="N185" s="5">
        <f>IF(B185="","",IF(M185="","",ROUND(M185*'FREQUÊNCIA INDÚSTRIA'!$B$2,1)))</f>
        <v>4</v>
      </c>
    </row>
    <row r="186" ht="15.75" customHeight="1">
      <c r="B186" s="2" t="s">
        <v>36</v>
      </c>
      <c r="C186" s="2" t="s">
        <v>157</v>
      </c>
      <c r="D186" s="2" t="s">
        <v>24</v>
      </c>
      <c r="E186" s="2" t="s">
        <v>146</v>
      </c>
      <c r="H186" s="3" t="s">
        <v>17</v>
      </c>
      <c r="J186" s="4"/>
      <c r="M186" s="5">
        <f t="shared" si="1"/>
        <v>1</v>
      </c>
      <c r="N186" s="5">
        <f>IF(B186="","",IF(M186="","",ROUND(M186*'FREQUÊNCIA INDÚSTRIA'!$B$2,1)))</f>
        <v>4</v>
      </c>
    </row>
    <row r="187" ht="15.75" customHeight="1">
      <c r="B187" s="2" t="s">
        <v>36</v>
      </c>
      <c r="C187" s="2" t="s">
        <v>156</v>
      </c>
      <c r="D187" s="2" t="s">
        <v>24</v>
      </c>
      <c r="E187" s="2" t="s">
        <v>146</v>
      </c>
      <c r="H187" s="3" t="s">
        <v>17</v>
      </c>
      <c r="J187" s="4"/>
      <c r="M187" s="5">
        <f t="shared" si="1"/>
        <v>1</v>
      </c>
      <c r="N187" s="5">
        <f>IF(B187="","",IF(M187="","",ROUND(M187*'FREQUÊNCIA INDÚSTRIA'!$B$2,1)))</f>
        <v>4</v>
      </c>
    </row>
    <row r="188" ht="15.75" customHeight="1">
      <c r="B188" s="2" t="s">
        <v>36</v>
      </c>
      <c r="C188" s="2" t="s">
        <v>163</v>
      </c>
      <c r="D188" s="2" t="s">
        <v>24</v>
      </c>
      <c r="E188" s="2" t="s">
        <v>146</v>
      </c>
      <c r="J188" s="4"/>
      <c r="K188" s="3" t="s">
        <v>17</v>
      </c>
      <c r="M188" s="5">
        <f t="shared" si="1"/>
        <v>1</v>
      </c>
      <c r="N188" s="5">
        <f>IF(B188="","",IF(M188="","",ROUND(M188*'FREQUÊNCIA INDÚSTRIA'!$B$2,1)))</f>
        <v>4</v>
      </c>
    </row>
    <row r="189" ht="15.75" customHeight="1">
      <c r="B189" s="2" t="s">
        <v>13</v>
      </c>
      <c r="C189" s="2" t="s">
        <v>164</v>
      </c>
      <c r="D189" s="2" t="s">
        <v>15</v>
      </c>
      <c r="E189" s="2" t="s">
        <v>138</v>
      </c>
      <c r="I189" s="3" t="s">
        <v>17</v>
      </c>
      <c r="J189" s="4"/>
      <c r="M189" s="5">
        <f t="shared" si="1"/>
        <v>1</v>
      </c>
      <c r="N189" s="5">
        <f>IF(B189="","",IF(M189="","",ROUND(M189*'FREQUÊNCIA INDÚSTRIA'!$B$2,1)))</f>
        <v>4</v>
      </c>
    </row>
    <row r="190" ht="15.75" customHeight="1">
      <c r="B190" s="2" t="s">
        <v>13</v>
      </c>
      <c r="C190" s="2" t="s">
        <v>165</v>
      </c>
      <c r="D190" s="2" t="s">
        <v>15</v>
      </c>
      <c r="E190" s="2" t="s">
        <v>138</v>
      </c>
      <c r="F190" s="3" t="s">
        <v>17</v>
      </c>
      <c r="J190" s="4"/>
      <c r="M190" s="5">
        <f t="shared" si="1"/>
        <v>1</v>
      </c>
      <c r="N190" s="5">
        <f>IF(B190="","",IF(M190="","",ROUND(M190*'FREQUÊNCIA INDÚSTRIA'!$B$2,1)))</f>
        <v>4</v>
      </c>
    </row>
    <row r="191" ht="15.75" customHeight="1">
      <c r="B191" s="2" t="s">
        <v>13</v>
      </c>
      <c r="C191" s="2" t="s">
        <v>166</v>
      </c>
      <c r="D191" s="2" t="s">
        <v>15</v>
      </c>
      <c r="E191" s="2" t="s">
        <v>138</v>
      </c>
      <c r="F191" s="3" t="s">
        <v>17</v>
      </c>
      <c r="J191" s="4"/>
      <c r="M191" s="5">
        <f t="shared" si="1"/>
        <v>1</v>
      </c>
      <c r="N191" s="5">
        <f>IF(B191="","",IF(M191="","",ROUND(M191*'FREQUÊNCIA INDÚSTRIA'!$B$2,1)))</f>
        <v>4</v>
      </c>
    </row>
    <row r="192" ht="15.75" customHeight="1">
      <c r="B192" s="2" t="s">
        <v>13</v>
      </c>
      <c r="C192" s="2" t="s">
        <v>167</v>
      </c>
      <c r="D192" s="2" t="s">
        <v>15</v>
      </c>
      <c r="E192" s="2" t="s">
        <v>138</v>
      </c>
      <c r="H192" s="3" t="s">
        <v>17</v>
      </c>
      <c r="J192" s="4"/>
      <c r="M192" s="5">
        <f t="shared" si="1"/>
        <v>1</v>
      </c>
      <c r="N192" s="5">
        <f>IF(B192="","",IF(M192="","",ROUND(M192*'FREQUÊNCIA INDÚSTRIA'!$B$2,1)))</f>
        <v>4</v>
      </c>
    </row>
    <row r="193" ht="15.75" customHeight="1">
      <c r="B193" s="2" t="s">
        <v>13</v>
      </c>
      <c r="C193" s="2" t="s">
        <v>168</v>
      </c>
      <c r="D193" s="2" t="s">
        <v>15</v>
      </c>
      <c r="E193" s="2" t="s">
        <v>138</v>
      </c>
      <c r="J193" s="3" t="s">
        <v>17</v>
      </c>
      <c r="M193" s="5">
        <f t="shared" si="1"/>
        <v>1</v>
      </c>
      <c r="N193" s="5">
        <f>IF(B193="","",IF(M193="","",ROUND(M193*'FREQUÊNCIA INDÚSTRIA'!$B$2,1)))</f>
        <v>4</v>
      </c>
    </row>
    <row r="194" ht="15.75" customHeight="1">
      <c r="B194" s="2" t="s">
        <v>13</v>
      </c>
      <c r="C194" s="2" t="s">
        <v>169</v>
      </c>
      <c r="D194" s="2" t="s">
        <v>15</v>
      </c>
      <c r="E194" s="2" t="s">
        <v>138</v>
      </c>
      <c r="J194" s="3" t="s">
        <v>17</v>
      </c>
      <c r="M194" s="5">
        <f t="shared" si="1"/>
        <v>1</v>
      </c>
      <c r="N194" s="5">
        <f>IF(B194="","",IF(M194="","",ROUND(M194*'FREQUÊNCIA INDÚSTRIA'!$B$2,1)))</f>
        <v>4</v>
      </c>
    </row>
    <row r="195" ht="15.75" customHeight="1">
      <c r="B195" s="2"/>
      <c r="D195" s="2"/>
      <c r="E195" s="2"/>
      <c r="J195" s="4"/>
      <c r="N195" s="5" t="str">
        <f>IF(B195="","",IF(M195="","",ROUND(M195*'FREQUÊNCIA INDÚSTRIA'!$B$2,1)))</f>
        <v/>
      </c>
    </row>
    <row r="196" ht="15.75" customHeight="1">
      <c r="B196" s="2"/>
      <c r="C196" s="2"/>
      <c r="D196" s="2"/>
      <c r="E196" s="2"/>
      <c r="N196" s="5" t="str">
        <f>IF(B196="","",IF(M196="","",ROUND(M196*'FREQUÊNCIA INDÚSTRIA'!$B$2,1)))</f>
        <v/>
      </c>
    </row>
    <row r="197" ht="15.75" customHeight="1">
      <c r="B197" s="2"/>
      <c r="C197" s="2"/>
      <c r="D197" s="2"/>
      <c r="E197" s="2"/>
      <c r="N197" s="5" t="str">
        <f>IF(B197="","",IF(M197="","",ROUND(M197*'FREQUÊNCIA INDÚSTRIA'!$B$2,1)))</f>
        <v/>
      </c>
    </row>
    <row r="198" ht="15.75" customHeight="1">
      <c r="B198" s="2"/>
      <c r="C198" s="2"/>
      <c r="D198" s="2"/>
      <c r="E198" s="2"/>
      <c r="N198" s="5" t="str">
        <f>IF(B198="","",IF(M198="","",ROUND(M198*'FREQUÊNCIA INDÚSTRIA'!$B$2,1)))</f>
        <v/>
      </c>
    </row>
    <row r="199" ht="15.75" customHeight="1">
      <c r="B199" s="2"/>
      <c r="C199" s="2"/>
      <c r="D199" s="2"/>
      <c r="E199" s="2"/>
      <c r="N199" s="5" t="str">
        <f>IF(B199="","",IF(M199="","",ROUND(M199*'FREQUÊNCIA INDÚSTRIA'!$B$2,1)))</f>
        <v/>
      </c>
    </row>
    <row r="200" ht="15.75" customHeight="1">
      <c r="B200" s="2"/>
      <c r="C200" s="2"/>
      <c r="D200" s="2"/>
      <c r="E200" s="2"/>
      <c r="N200" s="5" t="str">
        <f>IF(B200="","",IF(M200="","",ROUND(M200*'FREQUÊNCIA INDÚSTRIA'!$B$2,1)))</f>
        <v/>
      </c>
    </row>
    <row r="201" ht="15.75" customHeight="1">
      <c r="B201" s="2"/>
      <c r="C201" s="2"/>
      <c r="D201" s="2"/>
      <c r="E201" s="2"/>
      <c r="N201" s="5" t="str">
        <f>IF(B201="","",IF(M201="","",ROUND(M201*'FREQUÊNCIA INDÚSTRIA'!$B$2,1)))</f>
        <v/>
      </c>
    </row>
    <row r="202" ht="15.75" customHeight="1">
      <c r="B202" s="7"/>
      <c r="C202" s="7"/>
      <c r="D202" s="7"/>
      <c r="E202" s="7"/>
      <c r="N202" s="5" t="str">
        <f>IF(B202="","",IF(M202="","",ROUND(M202*'FREQUÊNCIA INDÚSTRIA'!$B$2,1)))</f>
        <v/>
      </c>
    </row>
    <row r="203" ht="15.75" customHeight="1">
      <c r="B203" s="7"/>
      <c r="C203" s="7"/>
      <c r="D203" s="7"/>
      <c r="E203" s="7"/>
      <c r="N203" s="5" t="str">
        <f>IF(B203="","",IF(M203="","",ROUND(M203*'FREQUÊNCIA INDÚSTRIA'!$B$2,1)))</f>
        <v/>
      </c>
    </row>
    <row r="204" ht="15.75" customHeight="1">
      <c r="B204" s="7"/>
      <c r="C204" s="7"/>
      <c r="D204" s="7"/>
      <c r="E204" s="7"/>
      <c r="N204" s="5" t="str">
        <f>IF(B204="","",IF(M204="","",ROUND(M204*'FREQUÊNCIA INDÚSTRIA'!$B$2,1)))</f>
        <v/>
      </c>
    </row>
    <row r="205" ht="15.75" customHeight="1">
      <c r="B205" s="7"/>
      <c r="C205" s="7"/>
      <c r="D205" s="7"/>
      <c r="E205" s="7"/>
      <c r="N205" s="5" t="str">
        <f>IF(B205="","",IF(M205="","",ROUND(M205*'FREQUÊNCIA INDÚSTRIA'!$B$2,1)))</f>
        <v/>
      </c>
    </row>
    <row r="206" ht="15.75" customHeight="1">
      <c r="B206" s="7"/>
      <c r="C206" s="7"/>
      <c r="D206" s="7"/>
      <c r="E206" s="7"/>
      <c r="N206" s="5" t="str">
        <f>IF(B206="","",IF(M206="","",ROUND(M206*'FREQUÊNCIA INDÚSTRIA'!$B$2,1)))</f>
        <v/>
      </c>
    </row>
    <row r="207" ht="15.75" customHeight="1">
      <c r="B207" s="7"/>
      <c r="C207" s="7"/>
      <c r="D207" s="7"/>
      <c r="E207" s="7"/>
      <c r="N207" s="5" t="str">
        <f>IF(B207="","",IF(M207="","",ROUND(M207*'FREQUÊNCIA INDÚSTRIA'!$B$2,1)))</f>
        <v/>
      </c>
    </row>
    <row r="208" ht="15.75" customHeight="1">
      <c r="B208" s="7"/>
      <c r="C208" s="7"/>
      <c r="D208" s="7"/>
      <c r="E208" s="7"/>
      <c r="N208" s="5" t="str">
        <f>IF(B208="","",IF(M208="","",ROUND(M208*'FREQUÊNCIA INDÚSTRIA'!$B$2,1)))</f>
        <v/>
      </c>
    </row>
    <row r="209" ht="15.75" customHeight="1">
      <c r="B209" s="7"/>
      <c r="C209" s="7"/>
      <c r="D209" s="7"/>
      <c r="E209" s="7"/>
      <c r="N209" s="5" t="str">
        <f>IF(B209="","",IF(M209="","",ROUND(M209*'FREQUÊNCIA INDÚSTRIA'!$B$2,1)))</f>
        <v/>
      </c>
    </row>
    <row r="210" ht="15.75" customHeight="1">
      <c r="B210" s="7"/>
      <c r="C210" s="7"/>
      <c r="D210" s="7"/>
      <c r="E210" s="7"/>
      <c r="N210" s="5" t="str">
        <f>IF(B210="","",IF(M210="","",ROUND(M210*'FREQUÊNCIA INDÚSTRIA'!$B$2,1)))</f>
        <v/>
      </c>
    </row>
    <row r="211" ht="15.75" customHeight="1">
      <c r="B211" s="7"/>
      <c r="C211" s="7"/>
      <c r="D211" s="7"/>
      <c r="E211" s="7"/>
      <c r="N211" s="5" t="str">
        <f>IF(B211="","",IF(M211="","",ROUND(M211*'FREQUÊNCIA INDÚSTRIA'!$B$2,1)))</f>
        <v/>
      </c>
    </row>
    <row r="212" ht="15.75" customHeight="1">
      <c r="B212" s="7"/>
      <c r="C212" s="7"/>
      <c r="D212" s="7"/>
      <c r="E212" s="7"/>
      <c r="N212" s="5" t="str">
        <f>IF(B212="","",IF(M212="","",ROUND(M212*'FREQUÊNCIA INDÚSTRIA'!$B$2,1)))</f>
        <v/>
      </c>
    </row>
    <row r="213" ht="15.75" customHeight="1">
      <c r="B213" s="7"/>
      <c r="C213" s="7"/>
      <c r="D213" s="7"/>
      <c r="E213" s="7"/>
      <c r="N213" s="5" t="str">
        <f>IF(B213="","",IF(M213="","",ROUND(M213*'FREQUÊNCIA INDÚSTRIA'!$B$2,1)))</f>
        <v/>
      </c>
    </row>
    <row r="214" ht="15.75" customHeight="1">
      <c r="B214" s="7"/>
      <c r="C214" s="7"/>
      <c r="D214" s="7"/>
      <c r="E214" s="7"/>
      <c r="N214" s="5" t="str">
        <f>IF(B214="","",IF(M214="","",ROUND(M214*'FREQUÊNCIA INDÚSTRIA'!$B$2,1)))</f>
        <v/>
      </c>
    </row>
    <row r="215" ht="15.75" customHeight="1">
      <c r="B215" s="7"/>
      <c r="C215" s="7"/>
      <c r="D215" s="7"/>
      <c r="E215" s="7"/>
      <c r="N215" s="5" t="str">
        <f>IF(B215="","",IF(M215="","",ROUND(M215*'FREQUÊNCIA INDÚSTRIA'!$B$2,1)))</f>
        <v/>
      </c>
    </row>
    <row r="216" ht="15.75" customHeight="1">
      <c r="B216" s="7"/>
      <c r="C216" s="7"/>
      <c r="D216" s="7"/>
      <c r="E216" s="7"/>
      <c r="N216" s="5" t="str">
        <f>IF(B216="","",IF(M216="","",ROUND(M216*'FREQUÊNCIA INDÚSTRIA'!$B$2,1)))</f>
        <v/>
      </c>
    </row>
    <row r="217" ht="15.75" customHeight="1">
      <c r="B217" s="7"/>
      <c r="C217" s="7"/>
      <c r="D217" s="7"/>
      <c r="E217" s="7"/>
      <c r="N217" s="5" t="str">
        <f>IF(B217="","",IF(M217="","",ROUND(M217*'FREQUÊNCIA INDÚSTRIA'!$B$2,1)))</f>
        <v/>
      </c>
    </row>
    <row r="218" ht="15.75" customHeight="1">
      <c r="B218" s="7"/>
      <c r="C218" s="7"/>
      <c r="D218" s="7"/>
      <c r="E218" s="7"/>
      <c r="N218" s="5" t="str">
        <f>IF(B218="","",IF(M218="","",ROUND(M218*'FREQUÊNCIA INDÚSTRIA'!$B$2,1)))</f>
        <v/>
      </c>
    </row>
    <row r="219" ht="15.75" customHeight="1">
      <c r="B219" s="7"/>
      <c r="C219" s="7"/>
      <c r="D219" s="7"/>
      <c r="E219" s="7"/>
      <c r="N219" s="5" t="str">
        <f>IF(B219="","",IF(M219="","",ROUND(M219*'FREQUÊNCIA INDÚSTRIA'!$B$2,1)))</f>
        <v/>
      </c>
    </row>
    <row r="220" ht="15.75" customHeight="1">
      <c r="B220" s="5"/>
      <c r="C220" s="5"/>
      <c r="D220" s="5"/>
      <c r="E220" s="5"/>
    </row>
    <row r="221" ht="15.75" customHeight="1">
      <c r="B221" s="5"/>
      <c r="C221" s="5"/>
      <c r="D221" s="5"/>
      <c r="E221" s="5"/>
    </row>
    <row r="222" ht="15.75" customHeight="1">
      <c r="B222" s="5"/>
      <c r="C222" s="5"/>
      <c r="D222" s="5"/>
      <c r="E222" s="5"/>
    </row>
    <row r="223" ht="15.75" customHeight="1">
      <c r="B223" s="5"/>
      <c r="C223" s="5"/>
      <c r="D223" s="5"/>
      <c r="E223" s="5"/>
    </row>
    <row r="224" ht="15.75" customHeight="1">
      <c r="B224" s="5"/>
      <c r="C224" s="5"/>
      <c r="D224" s="5"/>
      <c r="E224" s="5"/>
    </row>
    <row r="225" ht="15.75" customHeight="1">
      <c r="B225" s="5"/>
      <c r="C225" s="5"/>
      <c r="D225" s="5"/>
      <c r="E225" s="5"/>
    </row>
    <row r="226" ht="15.75" customHeight="1">
      <c r="B226" s="5"/>
      <c r="C226" s="5"/>
      <c r="D226" s="5"/>
      <c r="E226" s="5"/>
    </row>
    <row r="227" ht="15.75" customHeight="1">
      <c r="B227" s="5"/>
      <c r="C227" s="5"/>
      <c r="D227" s="5"/>
      <c r="E227" s="5"/>
    </row>
    <row r="228" ht="15.75" customHeight="1">
      <c r="B228" s="5"/>
      <c r="C228" s="5"/>
      <c r="D228" s="5"/>
      <c r="E228" s="5"/>
    </row>
    <row r="229" ht="15.75" customHeight="1">
      <c r="B229" s="5"/>
      <c r="C229" s="5"/>
      <c r="D229" s="5"/>
      <c r="E229" s="5"/>
    </row>
    <row r="230" ht="15.75" customHeight="1">
      <c r="B230" s="5"/>
      <c r="C230" s="5"/>
      <c r="D230" s="5"/>
      <c r="E230" s="5"/>
    </row>
    <row r="231" ht="15.75" customHeight="1">
      <c r="B231" s="5"/>
      <c r="C231" s="5"/>
      <c r="D231" s="5"/>
      <c r="E231" s="5"/>
    </row>
    <row r="232" ht="15.75" customHeight="1">
      <c r="B232" s="5"/>
      <c r="C232" s="5"/>
      <c r="D232" s="5"/>
      <c r="E232" s="5"/>
    </row>
    <row r="233" ht="15.75" customHeight="1">
      <c r="B233" s="5"/>
      <c r="C233" s="5"/>
      <c r="D233" s="5"/>
      <c r="E233" s="5"/>
    </row>
    <row r="234" ht="15.75" customHeight="1">
      <c r="B234" s="5"/>
      <c r="C234" s="5"/>
      <c r="D234" s="5"/>
      <c r="E234" s="5"/>
    </row>
    <row r="235" ht="15.75" customHeight="1">
      <c r="B235" s="5"/>
      <c r="C235" s="5"/>
      <c r="D235" s="5"/>
      <c r="E235" s="5"/>
    </row>
    <row r="236" ht="15.75" customHeight="1">
      <c r="B236" s="5"/>
      <c r="C236" s="5"/>
      <c r="D236" s="5"/>
      <c r="E236" s="5"/>
    </row>
    <row r="237" ht="15.75" customHeight="1">
      <c r="B237" s="5"/>
      <c r="C237" s="5"/>
      <c r="D237" s="5"/>
      <c r="E237" s="5"/>
    </row>
    <row r="238" ht="15.75" customHeight="1">
      <c r="B238" s="5"/>
      <c r="C238" s="5"/>
      <c r="D238" s="5"/>
      <c r="E238" s="5"/>
    </row>
    <row r="239" ht="15.75" customHeight="1">
      <c r="B239" s="5"/>
      <c r="C239" s="5"/>
      <c r="D239" s="5"/>
      <c r="E239" s="5"/>
    </row>
    <row r="240" ht="15.75" customHeight="1">
      <c r="B240" s="5"/>
      <c r="C240" s="5"/>
      <c r="D240" s="5"/>
      <c r="E240" s="5"/>
    </row>
    <row r="241" ht="15.75" customHeight="1">
      <c r="B241" s="5"/>
      <c r="C241" s="5"/>
      <c r="D241" s="5"/>
      <c r="E241" s="5"/>
    </row>
    <row r="242" ht="15.75" customHeight="1">
      <c r="B242" s="5"/>
      <c r="C242" s="5"/>
      <c r="D242" s="5"/>
      <c r="E242" s="5"/>
    </row>
    <row r="243" ht="15.75" customHeight="1">
      <c r="B243" s="5"/>
      <c r="C243" s="5"/>
      <c r="D243" s="5"/>
      <c r="E243" s="5"/>
    </row>
    <row r="244" ht="15.75" customHeight="1">
      <c r="B244" s="5"/>
      <c r="C244" s="5"/>
      <c r="D244" s="5"/>
      <c r="E244" s="5"/>
    </row>
    <row r="245" ht="15.75" customHeight="1">
      <c r="B245" s="5"/>
      <c r="C245" s="5"/>
      <c r="D245" s="5"/>
      <c r="E245" s="5"/>
    </row>
    <row r="246" ht="15.75" customHeight="1">
      <c r="B246" s="5"/>
      <c r="C246" s="5"/>
      <c r="D246" s="5"/>
      <c r="E246" s="5"/>
    </row>
    <row r="247" ht="15.75" customHeight="1">
      <c r="B247" s="5"/>
      <c r="C247" s="5"/>
      <c r="D247" s="5"/>
      <c r="E247" s="5"/>
    </row>
    <row r="248" ht="15.75" customHeight="1">
      <c r="B248" s="5"/>
      <c r="C248" s="5"/>
      <c r="D248" s="5"/>
      <c r="E248" s="5"/>
    </row>
    <row r="249" ht="15.75" customHeight="1">
      <c r="B249" s="5"/>
      <c r="C249" s="5"/>
      <c r="D249" s="5"/>
      <c r="E249" s="5"/>
    </row>
    <row r="250" ht="15.75" customHeight="1">
      <c r="B250" s="5"/>
      <c r="C250" s="5"/>
      <c r="D250" s="5"/>
      <c r="E250" s="5"/>
    </row>
    <row r="251" ht="15.75" customHeight="1">
      <c r="B251" s="5"/>
      <c r="C251" s="5"/>
      <c r="D251" s="5"/>
      <c r="E251" s="5"/>
    </row>
    <row r="252" ht="15.75" customHeight="1">
      <c r="B252" s="5"/>
      <c r="C252" s="5"/>
      <c r="D252" s="5"/>
      <c r="E252" s="5"/>
    </row>
    <row r="253" ht="15.75" customHeight="1">
      <c r="B253" s="5"/>
      <c r="C253" s="5"/>
      <c r="D253" s="5"/>
      <c r="E253" s="5"/>
    </row>
    <row r="254" ht="15.75" customHeight="1">
      <c r="B254" s="5"/>
      <c r="C254" s="5"/>
      <c r="D254" s="5"/>
      <c r="E254" s="5"/>
    </row>
    <row r="255" ht="15.75" customHeight="1">
      <c r="B255" s="5"/>
      <c r="C255" s="5"/>
      <c r="D255" s="5"/>
      <c r="E255" s="5"/>
    </row>
    <row r="256" ht="15.75" customHeight="1">
      <c r="B256" s="5"/>
      <c r="C256" s="5"/>
      <c r="D256" s="5"/>
      <c r="E256" s="5"/>
    </row>
    <row r="257" ht="15.75" customHeight="1">
      <c r="B257" s="5"/>
      <c r="C257" s="5"/>
      <c r="D257" s="5"/>
      <c r="E257" s="5"/>
    </row>
    <row r="258" ht="15.75" customHeight="1">
      <c r="B258" s="5"/>
      <c r="C258" s="5"/>
      <c r="D258" s="5"/>
      <c r="E258" s="5"/>
    </row>
    <row r="259" ht="15.75" customHeight="1">
      <c r="B259" s="5"/>
      <c r="C259" s="5"/>
      <c r="D259" s="5"/>
      <c r="E259" s="5"/>
    </row>
    <row r="260" ht="15.75" customHeight="1">
      <c r="B260" s="5"/>
      <c r="C260" s="5"/>
      <c r="D260" s="5"/>
      <c r="E260" s="5"/>
    </row>
    <row r="261" ht="15.75" customHeight="1">
      <c r="B261" s="5"/>
      <c r="C261" s="5"/>
      <c r="D261" s="5"/>
      <c r="E261" s="5"/>
    </row>
    <row r="262" ht="15.75" customHeight="1">
      <c r="B262" s="5"/>
      <c r="C262" s="5"/>
      <c r="D262" s="5"/>
      <c r="E262" s="5"/>
    </row>
    <row r="263" ht="15.75" customHeight="1">
      <c r="B263" s="5"/>
      <c r="C263" s="5"/>
      <c r="D263" s="5"/>
      <c r="E263" s="5"/>
    </row>
    <row r="264" ht="15.75" customHeight="1">
      <c r="B264" s="5"/>
      <c r="C264" s="5"/>
      <c r="D264" s="5"/>
      <c r="E264" s="5"/>
    </row>
    <row r="265" ht="15.75" customHeight="1">
      <c r="B265" s="5"/>
      <c r="C265" s="5"/>
      <c r="D265" s="5"/>
      <c r="E265" s="5"/>
    </row>
    <row r="266" ht="15.75" customHeight="1">
      <c r="B266" s="5"/>
      <c r="C266" s="5"/>
      <c r="D266" s="5"/>
      <c r="E266" s="5"/>
    </row>
    <row r="267" ht="15.75" customHeight="1">
      <c r="B267" s="5"/>
      <c r="C267" s="5"/>
      <c r="D267" s="5"/>
      <c r="E267" s="5"/>
    </row>
    <row r="268" ht="15.75" customHeight="1">
      <c r="B268" s="5"/>
      <c r="C268" s="5"/>
      <c r="D268" s="5"/>
      <c r="E268" s="5"/>
    </row>
    <row r="269" ht="15.75" customHeight="1">
      <c r="B269" s="5"/>
      <c r="C269" s="5"/>
      <c r="D269" s="5"/>
      <c r="E269" s="5"/>
    </row>
    <row r="270" ht="15.75" customHeight="1">
      <c r="B270" s="5"/>
      <c r="C270" s="5"/>
      <c r="D270" s="5"/>
      <c r="E270" s="5"/>
    </row>
    <row r="271" ht="15.75" customHeight="1">
      <c r="B271" s="5"/>
      <c r="C271" s="5"/>
      <c r="D271" s="5"/>
      <c r="E271" s="5"/>
    </row>
    <row r="272" ht="15.75" customHeight="1">
      <c r="B272" s="5"/>
      <c r="C272" s="5"/>
      <c r="D272" s="5"/>
      <c r="E272" s="5"/>
    </row>
    <row r="273" ht="15.75" customHeight="1">
      <c r="B273" s="5"/>
      <c r="C273" s="5"/>
      <c r="D273" s="5"/>
      <c r="E273" s="5"/>
    </row>
    <row r="274" ht="15.75" customHeight="1">
      <c r="B274" s="5"/>
      <c r="C274" s="5"/>
      <c r="D274" s="5"/>
      <c r="E274" s="5"/>
    </row>
    <row r="275" ht="15.75" customHeight="1">
      <c r="B275" s="5"/>
      <c r="C275" s="5"/>
      <c r="D275" s="5"/>
      <c r="E275" s="5"/>
    </row>
    <row r="276" ht="15.75" customHeight="1">
      <c r="B276" s="5"/>
      <c r="C276" s="5"/>
      <c r="D276" s="5"/>
      <c r="E276" s="5"/>
    </row>
    <row r="277" ht="15.75" customHeight="1">
      <c r="B277" s="5"/>
      <c r="C277" s="5"/>
      <c r="D277" s="5"/>
      <c r="E277" s="5"/>
    </row>
    <row r="278" ht="15.75" customHeight="1">
      <c r="B278" s="5"/>
      <c r="C278" s="5"/>
      <c r="D278" s="5"/>
      <c r="E278" s="5"/>
    </row>
    <row r="279" ht="15.75" customHeight="1">
      <c r="B279" s="5"/>
      <c r="C279" s="5"/>
      <c r="D279" s="5"/>
      <c r="E279" s="5"/>
    </row>
    <row r="280" ht="15.75" customHeight="1">
      <c r="B280" s="5"/>
      <c r="C280" s="5"/>
      <c r="D280" s="5"/>
      <c r="E280" s="5"/>
    </row>
    <row r="281" ht="15.75" customHeight="1">
      <c r="B281" s="5"/>
      <c r="C281" s="5"/>
      <c r="D281" s="5"/>
      <c r="E281" s="5"/>
    </row>
    <row r="282" ht="15.75" customHeight="1">
      <c r="B282" s="5"/>
      <c r="C282" s="5"/>
      <c r="D282" s="5"/>
      <c r="E282" s="5"/>
    </row>
    <row r="283" ht="15.75" customHeight="1">
      <c r="B283" s="5"/>
      <c r="C283" s="5"/>
      <c r="D283" s="5"/>
      <c r="E283" s="5"/>
    </row>
    <row r="284" ht="15.75" customHeight="1">
      <c r="B284" s="5"/>
      <c r="C284" s="5"/>
      <c r="D284" s="5"/>
      <c r="E284" s="5"/>
    </row>
    <row r="285" ht="15.75" customHeight="1">
      <c r="B285" s="5"/>
      <c r="C285" s="5"/>
      <c r="D285" s="5"/>
      <c r="E285" s="5"/>
    </row>
    <row r="286" ht="15.75" customHeight="1">
      <c r="B286" s="5"/>
      <c r="C286" s="5"/>
      <c r="D286" s="5"/>
      <c r="E286" s="5"/>
    </row>
    <row r="287" ht="15.75" customHeight="1">
      <c r="B287" s="5"/>
      <c r="C287" s="5"/>
      <c r="D287" s="5"/>
      <c r="E287" s="5"/>
    </row>
    <row r="288" ht="15.75" customHeight="1">
      <c r="B288" s="5"/>
      <c r="C288" s="5"/>
      <c r="D288" s="5"/>
      <c r="E288" s="5"/>
    </row>
    <row r="289" ht="15.75" customHeight="1">
      <c r="B289" s="5"/>
      <c r="C289" s="5"/>
      <c r="D289" s="5"/>
      <c r="E289" s="5"/>
    </row>
    <row r="290" ht="15.75" customHeight="1">
      <c r="B290" s="5"/>
      <c r="C290" s="5"/>
      <c r="D290" s="5"/>
      <c r="E290" s="5"/>
    </row>
    <row r="291" ht="15.75" customHeight="1">
      <c r="B291" s="5"/>
      <c r="C291" s="5"/>
      <c r="D291" s="5"/>
      <c r="E291" s="5"/>
    </row>
    <row r="292" ht="15.75" customHeight="1">
      <c r="B292" s="5"/>
      <c r="C292" s="5"/>
      <c r="D292" s="5"/>
      <c r="E292" s="5"/>
    </row>
    <row r="293" ht="15.75" customHeight="1">
      <c r="B293" s="5"/>
      <c r="C293" s="5"/>
      <c r="D293" s="5"/>
      <c r="E293" s="5"/>
    </row>
    <row r="294" ht="15.75" customHeight="1">
      <c r="B294" s="5"/>
      <c r="C294" s="5"/>
      <c r="D294" s="5"/>
      <c r="E294" s="5"/>
    </row>
    <row r="295" ht="15.75" customHeight="1">
      <c r="B295" s="5"/>
      <c r="C295" s="5"/>
      <c r="D295" s="5"/>
      <c r="E295" s="5"/>
    </row>
    <row r="296" ht="15.75" customHeight="1">
      <c r="B296" s="5"/>
      <c r="C296" s="5"/>
      <c r="D296" s="5"/>
      <c r="E296" s="5"/>
    </row>
    <row r="297" ht="15.75" customHeight="1">
      <c r="B297" s="5"/>
      <c r="C297" s="5"/>
      <c r="D297" s="5"/>
      <c r="E297" s="5"/>
    </row>
    <row r="298" ht="15.75" customHeight="1">
      <c r="B298" s="5"/>
      <c r="C298" s="5"/>
      <c r="D298" s="5"/>
      <c r="E298" s="5"/>
    </row>
    <row r="299" ht="15.75" customHeight="1">
      <c r="B299" s="5"/>
      <c r="C299" s="5"/>
      <c r="D299" s="5"/>
      <c r="E299" s="5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E2:E299">
      <formula1>PROMOTORES!$B$4:$B$43</formula1>
    </dataValidation>
    <dataValidation type="list" allowBlank="1" showErrorMessage="1" sqref="D2:D299">
      <formula1>"GO,MS,TO"</formula1>
    </dataValidation>
    <dataValidation type="list" allowBlank="1" showErrorMessage="1" sqref="C2:C21 C23:C25 C27:C51 C53:C160 C162:C194 C196:C299">
      <formula1>LOJAS!$B:$B</formula1>
    </dataValidation>
    <dataValidation type="list" allowBlank="1" showErrorMessage="1" sqref="B2:B299">
      <formula1>INDUSTRIA!$A:$A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31.25"/>
    <col customWidth="1" min="3" max="3" width="39.75"/>
    <col customWidth="1" min="4" max="4" width="3.63"/>
    <col customWidth="1" min="5" max="5" width="4.5"/>
    <col customWidth="1" min="6" max="6" width="4.38"/>
    <col customWidth="1" min="7" max="7" width="4.63"/>
    <col customWidth="1" min="8" max="8" width="4.0"/>
    <col customWidth="1" min="9" max="10" width="4.38"/>
    <col customWidth="1" min="11" max="11" width="4.88"/>
    <col customWidth="1" min="12" max="12" width="25.38"/>
    <col customWidth="1" min="13" max="13" width="28.5"/>
  </cols>
  <sheetData>
    <row r="1">
      <c r="B1" s="10" t="s">
        <v>170</v>
      </c>
      <c r="C1" s="10" t="s">
        <v>171</v>
      </c>
    </row>
    <row r="2">
      <c r="B2" s="2" t="s">
        <v>121</v>
      </c>
      <c r="C2" s="7">
        <f>SUMPRODUCT(('ROTEIRO LUCAS'!E2:E499=B2)*('ROTEIRO LUCAS'!F2:L499="✓"))</f>
        <v>21</v>
      </c>
    </row>
    <row r="4">
      <c r="B4" s="10" t="s">
        <v>172</v>
      </c>
      <c r="C4" s="10" t="s">
        <v>173</v>
      </c>
      <c r="D4" s="10" t="s">
        <v>2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174</v>
      </c>
      <c r="K4" s="10" t="s">
        <v>10</v>
      </c>
    </row>
    <row r="5">
      <c r="B5" s="7" t="str">
        <f>IFERROR(__xludf.DUMMYFUNCTION("QUERY('ROTEIRO LUCAS'!B2:L499,""SELECT B,C,D,F,G,H,I,J,K,L WHERE E = '""&amp;B2&amp;""' ORDER BY B"",0)"),"APYCE")</f>
        <v>APYCE</v>
      </c>
      <c r="C5" s="7" t="str">
        <f>IFERROR(__xludf.DUMMYFUNCTION("""COMPUTED_VALUE"""),"SUPERVI SUPERMERCADOS JARDIM GOIANO")</f>
        <v>SUPERVI SUPERMERCADOS JARDIM GOIANO</v>
      </c>
      <c r="D5" s="7" t="str">
        <f>IFERROR(__xludf.DUMMYFUNCTION("""COMPUTED_VALUE"""),"GO")</f>
        <v>GO</v>
      </c>
      <c r="E5" s="3"/>
      <c r="F5" s="3" t="str">
        <f>IFERROR(__xludf.DUMMYFUNCTION("""COMPUTED_VALUE"""),"✓")</f>
        <v>✓</v>
      </c>
      <c r="G5" s="3"/>
      <c r="H5" s="3" t="str">
        <f>IFERROR(__xludf.DUMMYFUNCTION("""COMPUTED_VALUE"""),"✓")</f>
        <v>✓</v>
      </c>
      <c r="I5" s="3"/>
      <c r="J5" s="3"/>
      <c r="K5" s="3"/>
    </row>
    <row r="6">
      <c r="B6" s="7" t="str">
        <f>IFERROR(__xludf.DUMMYFUNCTION("""COMPUTED_VALUE"""),"APYCE")</f>
        <v>APYCE</v>
      </c>
      <c r="C6" s="7" t="str">
        <f>IFERROR(__xludf.DUMMYFUNCTION("""COMPUTED_VALUE"""),"SUPERVI SUPERMERCADOS RES DAS FLORES")</f>
        <v>SUPERVI SUPERMERCADOS RES DAS FLORES</v>
      </c>
      <c r="D6" s="7" t="str">
        <f>IFERROR(__xludf.DUMMYFUNCTION("""COMPUTED_VALUE"""),"GO")</f>
        <v>GO</v>
      </c>
      <c r="E6" s="3"/>
      <c r="F6" s="3"/>
      <c r="G6" s="3"/>
      <c r="H6" s="3" t="str">
        <f>IFERROR(__xludf.DUMMYFUNCTION("""COMPUTED_VALUE"""),"✓")</f>
        <v>✓</v>
      </c>
      <c r="I6" s="3"/>
      <c r="J6" s="3" t="str">
        <f>IFERROR(__xludf.DUMMYFUNCTION("""COMPUTED_VALUE"""),"✓")</f>
        <v>✓</v>
      </c>
      <c r="K6" s="3"/>
    </row>
    <row r="7">
      <c r="B7" s="7" t="str">
        <f>IFERROR(__xludf.DUMMYFUNCTION("""COMPUTED_VALUE"""),"SÃO BRAZ")</f>
        <v>SÃO BRAZ</v>
      </c>
      <c r="C7" s="7" t="str">
        <f>IFERROR(__xludf.DUMMYFUNCTION("""COMPUTED_VALUE"""),"SUPERVI SUPERMERCADOS PRESIDENTE KENNEDY")</f>
        <v>SUPERVI SUPERMERCADOS PRESIDENTE KENNEDY</v>
      </c>
      <c r="D7" s="7" t="str">
        <f>IFERROR(__xludf.DUMMYFUNCTION("""COMPUTED_VALUE"""),"GO")</f>
        <v>GO</v>
      </c>
      <c r="E7" s="3"/>
      <c r="F7" s="3" t="str">
        <f>IFERROR(__xludf.DUMMYFUNCTION("""COMPUTED_VALUE"""),"✓")</f>
        <v>✓</v>
      </c>
      <c r="G7" s="3"/>
      <c r="H7" s="3"/>
      <c r="I7" s="3"/>
      <c r="J7" s="3"/>
      <c r="K7" s="3"/>
    </row>
    <row r="8">
      <c r="B8" s="7" t="str">
        <f>IFERROR(__xludf.DUMMYFUNCTION("""COMPUTED_VALUE"""),"SÃO BRAZ")</f>
        <v>SÃO BRAZ</v>
      </c>
      <c r="C8" s="7" t="str">
        <f>IFERROR(__xludf.DUMMYFUNCTION("""COMPUTED_VALUE"""),"SUPERMERCADO DO POVO")</f>
        <v>SUPERMERCADO DO POVO</v>
      </c>
      <c r="D8" s="7" t="str">
        <f>IFERROR(__xludf.DUMMYFUNCTION("""COMPUTED_VALUE"""),"GO")</f>
        <v>GO</v>
      </c>
      <c r="E8" s="3"/>
      <c r="F8" s="3"/>
      <c r="G8" s="3" t="str">
        <f>IFERROR(__xludf.DUMMYFUNCTION("""COMPUTED_VALUE"""),"✓")</f>
        <v>✓</v>
      </c>
      <c r="H8" s="3"/>
      <c r="I8" s="3"/>
      <c r="J8" s="3"/>
      <c r="K8" s="3"/>
    </row>
    <row r="9">
      <c r="B9" s="7" t="str">
        <f>IFERROR(__xludf.DUMMYFUNCTION("""COMPUTED_VALUE"""),"SÃO BRAZ")</f>
        <v>SÃO BRAZ</v>
      </c>
      <c r="C9" s="7" t="str">
        <f>IFERROR(__xludf.DUMMYFUNCTION("""COMPUTED_VALUE"""),"SUPERVI IAPC")</f>
        <v>SUPERVI IAPC</v>
      </c>
      <c r="D9" s="7" t="str">
        <f>IFERROR(__xludf.DUMMYFUNCTION("""COMPUTED_VALUE"""),"GO")</f>
        <v>GO</v>
      </c>
      <c r="E9" s="3" t="str">
        <f>IFERROR(__xludf.DUMMYFUNCTION("""COMPUTED_VALUE"""),"✓")</f>
        <v>✓</v>
      </c>
      <c r="F9" s="3"/>
      <c r="G9" s="3"/>
      <c r="H9" s="3"/>
      <c r="I9" s="3"/>
      <c r="J9" s="3"/>
      <c r="K9" s="3"/>
    </row>
    <row r="10">
      <c r="B10" s="7" t="str">
        <f>IFERROR(__xludf.DUMMYFUNCTION("""COMPUTED_VALUE"""),"SÃO BRAZ")</f>
        <v>SÃO BRAZ</v>
      </c>
      <c r="C10" s="7" t="str">
        <f>IFERROR(__xludf.DUMMYFUNCTION("""COMPUTED_VALUE"""),"SUPERVI BAIRRO JKLOJA 12")</f>
        <v>SUPERVI BAIRRO JKLOJA 12</v>
      </c>
      <c r="D10" s="7" t="str">
        <f>IFERROR(__xludf.DUMMYFUNCTION("""COMPUTED_VALUE"""),"GO")</f>
        <v>GO</v>
      </c>
      <c r="E10" s="3"/>
      <c r="F10" s="3"/>
      <c r="G10" s="3"/>
      <c r="H10" s="3"/>
      <c r="I10" s="3"/>
      <c r="J10" s="3" t="str">
        <f>IFERROR(__xludf.DUMMYFUNCTION("""COMPUTED_VALUE"""),"✓")</f>
        <v>✓</v>
      </c>
      <c r="K10" s="3"/>
    </row>
    <row r="11">
      <c r="B11" s="7" t="str">
        <f>IFERROR(__xludf.DUMMYFUNCTION("""COMPUTED_VALUE"""),"SÃO BRAZ")</f>
        <v>SÃO BRAZ</v>
      </c>
      <c r="C11" s="7" t="str">
        <f>IFERROR(__xludf.DUMMYFUNCTION("""COMPUTED_VALUE"""),"SUPERVI SUPERMERCADOS RES DAS FLORES")</f>
        <v>SUPERVI SUPERMERCADOS RES DAS FLORES</v>
      </c>
      <c r="D11" s="7" t="str">
        <f>IFERROR(__xludf.DUMMYFUNCTION("""COMPUTED_VALUE"""),"GO")</f>
        <v>GO</v>
      </c>
      <c r="E11" s="3"/>
      <c r="F11" s="3"/>
      <c r="G11" s="3" t="str">
        <f>IFERROR(__xludf.DUMMYFUNCTION("""COMPUTED_VALUE"""),"✓")</f>
        <v>✓</v>
      </c>
      <c r="H11" s="3"/>
      <c r="I11" s="3"/>
      <c r="J11" s="3"/>
      <c r="K11" s="3"/>
    </row>
    <row r="12">
      <c r="B12" s="7" t="str">
        <f>IFERROR(__xludf.DUMMYFUNCTION("""COMPUTED_VALUE"""),"SÃO BRAZ")</f>
        <v>SÃO BRAZ</v>
      </c>
      <c r="C12" s="7" t="str">
        <f>IFERROR(__xludf.DUMMYFUNCTION("""COMPUTED_VALUE"""),"SUPERMERCADO ALVORADA")</f>
        <v>SUPERMERCADO ALVORADA</v>
      </c>
      <c r="D12" s="7" t="str">
        <f>IFERROR(__xludf.DUMMYFUNCTION("""COMPUTED_VALUE"""),"GO")</f>
        <v>GO</v>
      </c>
      <c r="E12" s="3"/>
      <c r="F12" s="3"/>
      <c r="G12" s="3"/>
      <c r="H12" s="3" t="str">
        <f>IFERROR(__xludf.DUMMYFUNCTION("""COMPUTED_VALUE"""),"✓")</f>
        <v>✓</v>
      </c>
      <c r="I12" s="3"/>
      <c r="J12" s="3"/>
      <c r="K12" s="3"/>
    </row>
    <row r="13">
      <c r="B13" s="7" t="str">
        <f>IFERROR(__xludf.DUMMYFUNCTION("""COMPUTED_VALUE"""),"SÃO BRAZ")</f>
        <v>SÃO BRAZ</v>
      </c>
      <c r="C13" s="7" t="str">
        <f>IFERROR(__xludf.DUMMYFUNCTION("""COMPUTED_VALUE"""),"COMERCIAL VILA RICA")</f>
        <v>COMERCIAL VILA RICA</v>
      </c>
      <c r="D13" s="7" t="str">
        <f>IFERROR(__xludf.DUMMYFUNCTION("""COMPUTED_VALUE"""),"GO")</f>
        <v>GO</v>
      </c>
      <c r="E13" s="3"/>
      <c r="F13" s="3" t="str">
        <f>IFERROR(__xludf.DUMMYFUNCTION("""COMPUTED_VALUE"""),"✓")</f>
        <v>✓</v>
      </c>
      <c r="G13" s="3"/>
      <c r="H13" s="3"/>
      <c r="I13" s="3"/>
      <c r="J13" s="3"/>
      <c r="K13" s="3"/>
    </row>
    <row r="14">
      <c r="B14" s="7" t="str">
        <f>IFERROR(__xludf.DUMMYFUNCTION("""COMPUTED_VALUE"""),"SÃO BRAZ")</f>
        <v>SÃO BRAZ</v>
      </c>
      <c r="C14" s="7" t="str">
        <f>IFERROR(__xludf.DUMMYFUNCTION("""COMPUTED_VALUE"""),"SUPERMERCADO DO POVO AV PERIMETRAL")</f>
        <v>SUPERMERCADO DO POVO AV PERIMETRAL</v>
      </c>
      <c r="D14" s="7" t="str">
        <f>IFERROR(__xludf.DUMMYFUNCTION("""COMPUTED_VALUE"""),"GO")</f>
        <v>GO</v>
      </c>
      <c r="E14" s="3" t="str">
        <f>IFERROR(__xludf.DUMMYFUNCTION("""COMPUTED_VALUE"""),"✓")</f>
        <v>✓</v>
      </c>
      <c r="F14" s="3"/>
      <c r="G14" s="3"/>
      <c r="H14" s="3"/>
      <c r="I14" s="3"/>
      <c r="J14" s="3"/>
      <c r="K14" s="3"/>
    </row>
    <row r="15">
      <c r="B15" s="5" t="str">
        <f>IFERROR(__xludf.DUMMYFUNCTION("""COMPUTED_VALUE"""),"SÃO BRAZ")</f>
        <v>SÃO BRAZ</v>
      </c>
      <c r="C15" s="5" t="str">
        <f>IFERROR(__xludf.DUMMYFUNCTION("""COMPUTED_VALUE"""),"HIPER VIP SUPERMERCADO")</f>
        <v>HIPER VIP SUPERMERCADO</v>
      </c>
      <c r="D15" s="5" t="str">
        <f>IFERROR(__xludf.DUMMYFUNCTION("""COMPUTED_VALUE"""),"GO")</f>
        <v>GO</v>
      </c>
      <c r="E15" s="4" t="str">
        <f>IFERROR(__xludf.DUMMYFUNCTION("""COMPUTED_VALUE"""),"✓")</f>
        <v>✓</v>
      </c>
      <c r="F15" s="4"/>
      <c r="G15" s="4"/>
      <c r="H15" s="4"/>
      <c r="I15" s="4" t="str">
        <f>IFERROR(__xludf.DUMMYFUNCTION("""COMPUTED_VALUE"""),"✓")</f>
        <v>✓</v>
      </c>
      <c r="J15" s="4"/>
      <c r="K15" s="4"/>
    </row>
    <row r="16">
      <c r="B16" s="5" t="str">
        <f>IFERROR(__xludf.DUMMYFUNCTION("""COMPUTED_VALUE"""),"SÃO BRAZ")</f>
        <v>SÃO BRAZ</v>
      </c>
      <c r="C16" s="5" t="str">
        <f>IFERROR(__xludf.DUMMYFUNCTION("""COMPUTED_VALUE"""),"FERREIRA SUPERMERCADO")</f>
        <v>FERREIRA SUPERMERCADO</v>
      </c>
      <c r="D16" s="5" t="str">
        <f>IFERROR(__xludf.DUMMYFUNCTION("""COMPUTED_VALUE"""),"GO")</f>
        <v>GO</v>
      </c>
      <c r="E16" s="4"/>
      <c r="F16" s="4"/>
      <c r="G16" s="4"/>
      <c r="H16" s="4"/>
      <c r="I16" s="4" t="str">
        <f>IFERROR(__xludf.DUMMYFUNCTION("""COMPUTED_VALUE"""),"✓")</f>
        <v>✓</v>
      </c>
      <c r="J16" s="4"/>
      <c r="K16" s="4"/>
    </row>
    <row r="17">
      <c r="B17" s="5" t="str">
        <f>IFERROR(__xludf.DUMMYFUNCTION("""COMPUTED_VALUE"""),"SÃO BRAZ")</f>
        <v>SÃO BRAZ</v>
      </c>
      <c r="C17" s="5" t="str">
        <f>IFERROR(__xludf.DUMMYFUNCTION("""COMPUTED_VALUE"""),"SUPERVI RESIDENCIAL DO CERRADO DAIA")</f>
        <v>SUPERVI RESIDENCIAL DO CERRADO DAIA</v>
      </c>
      <c r="D17" s="5" t="str">
        <f>IFERROR(__xludf.DUMMYFUNCTION("""COMPUTED_VALUE"""),"GO")</f>
        <v>GO</v>
      </c>
      <c r="E17" s="4"/>
      <c r="F17" s="4"/>
      <c r="G17" s="4"/>
      <c r="H17" s="4" t="str">
        <f>IFERROR(__xludf.DUMMYFUNCTION("""COMPUTED_VALUE"""),"✓")</f>
        <v>✓</v>
      </c>
      <c r="I17" s="4"/>
      <c r="J17" s="4"/>
      <c r="K17" s="4"/>
    </row>
    <row r="18">
      <c r="B18" s="5" t="str">
        <f>IFERROR(__xludf.DUMMYFUNCTION("""COMPUTED_VALUE"""),"TERMOLAR")</f>
        <v>TERMOLAR</v>
      </c>
      <c r="C18" s="5" t="str">
        <f>IFERROR(__xludf.DUMMYFUNCTION("""COMPUTED_VALUE"""),"PEROLA CALIXTOPOLIS")</f>
        <v>PEROLA CALIXTOPOLIS</v>
      </c>
      <c r="D18" s="5" t="str">
        <f>IFERROR(__xludf.DUMMYFUNCTION("""COMPUTED_VALUE"""),"GO")</f>
        <v>GO</v>
      </c>
      <c r="E18" s="4"/>
      <c r="F18" s="4"/>
      <c r="G18" s="4"/>
      <c r="H18" s="4" t="str">
        <f>IFERROR(__xludf.DUMMYFUNCTION("""COMPUTED_VALUE"""),"✓")</f>
        <v>✓</v>
      </c>
      <c r="I18" s="4"/>
      <c r="J18" s="4"/>
      <c r="K18" s="4"/>
    </row>
    <row r="19">
      <c r="B19" s="5" t="str">
        <f>IFERROR(__xludf.DUMMYFUNCTION("""COMPUTED_VALUE"""),"TERMOLAR")</f>
        <v>TERMOLAR</v>
      </c>
      <c r="C19" s="5" t="str">
        <f>IFERROR(__xludf.DUMMYFUNCTION("""COMPUTED_VALUE"""),"SUPERVI SUPERMERCADOS JARDIM GOIANO")</f>
        <v>SUPERVI SUPERMERCADOS JARDIM GOIANO</v>
      </c>
      <c r="D19" s="5" t="str">
        <f>IFERROR(__xludf.DUMMYFUNCTION("""COMPUTED_VALUE"""),"GO")</f>
        <v>GO</v>
      </c>
      <c r="E19" s="4"/>
      <c r="F19" s="4"/>
      <c r="G19" s="4"/>
      <c r="H19" s="4" t="str">
        <f>IFERROR(__xludf.DUMMYFUNCTION("""COMPUTED_VALUE"""),"✓")</f>
        <v>✓</v>
      </c>
      <c r="I19" s="4"/>
      <c r="J19" s="4"/>
      <c r="K19" s="4"/>
    </row>
    <row r="20">
      <c r="B20" s="5" t="str">
        <f>IFERROR(__xludf.DUMMYFUNCTION("""COMPUTED_VALUE"""),"TERMOLAR")</f>
        <v>TERMOLAR</v>
      </c>
      <c r="C20" s="5" t="str">
        <f>IFERROR(__xludf.DUMMYFUNCTION("""COMPUTED_VALUE"""),"SUPERVI SUPERMERCADOS RES DAS FLORES")</f>
        <v>SUPERVI SUPERMERCADOS RES DAS FLORES</v>
      </c>
      <c r="D20" s="5" t="str">
        <f>IFERROR(__xludf.DUMMYFUNCTION("""COMPUTED_VALUE"""),"GO")</f>
        <v>GO</v>
      </c>
      <c r="E20" s="4"/>
      <c r="F20" s="4"/>
      <c r="G20" s="4"/>
      <c r="H20" s="4"/>
      <c r="I20" s="4"/>
      <c r="J20" s="4" t="str">
        <f>IFERROR(__xludf.DUMMYFUNCTION("""COMPUTED_VALUE"""),"✓")</f>
        <v>✓</v>
      </c>
      <c r="K20" s="4"/>
    </row>
    <row r="21" ht="15.75" customHeight="1">
      <c r="B21" s="5" t="str">
        <f>IFERROR(__xludf.DUMMYFUNCTION("""COMPUTED_VALUE"""),"TERMOLAR")</f>
        <v>TERMOLAR</v>
      </c>
      <c r="C21" s="5" t="str">
        <f>IFERROR(__xludf.DUMMYFUNCTION("""COMPUTED_VALUE"""),"SUPERVI IAPC")</f>
        <v>SUPERVI IAPC</v>
      </c>
      <c r="D21" s="5" t="str">
        <f>IFERROR(__xludf.DUMMYFUNCTION("""COMPUTED_VALUE"""),"GO")</f>
        <v>GO</v>
      </c>
      <c r="E21" s="4"/>
      <c r="F21" s="4"/>
      <c r="G21" s="4" t="str">
        <f>IFERROR(__xludf.DUMMYFUNCTION("""COMPUTED_VALUE"""),"✓")</f>
        <v>✓</v>
      </c>
      <c r="H21" s="4"/>
      <c r="I21" s="4"/>
      <c r="J21" s="4"/>
      <c r="K21" s="4"/>
    </row>
    <row r="22" ht="15.75" customHeight="1">
      <c r="B22" s="5" t="str">
        <f>IFERROR(__xludf.DUMMYFUNCTION("""COMPUTED_VALUE"""),"TERMOLAR")</f>
        <v>TERMOLAR</v>
      </c>
      <c r="C22" s="5" t="str">
        <f>IFERROR(__xludf.DUMMYFUNCTION("""COMPUTED_VALUE"""),"SUPERVI BAIRRO JKLOJA 12")</f>
        <v>SUPERVI BAIRRO JKLOJA 12</v>
      </c>
      <c r="D22" s="5" t="str">
        <f>IFERROR(__xludf.DUMMYFUNCTION("""COMPUTED_VALUE"""),"GO")</f>
        <v>GO</v>
      </c>
      <c r="E22" s="4" t="str">
        <f>IFERROR(__xludf.DUMMYFUNCTION("""COMPUTED_VALUE"""),"✓")</f>
        <v>✓</v>
      </c>
      <c r="F22" s="4"/>
      <c r="G22" s="4"/>
      <c r="H22" s="4"/>
      <c r="I22" s="4"/>
      <c r="J22" s="4"/>
      <c r="K22" s="4"/>
    </row>
    <row r="23" ht="15.75" customHeight="1">
      <c r="E23" s="4"/>
      <c r="F23" s="4"/>
      <c r="G23" s="4"/>
      <c r="H23" s="4"/>
      <c r="I23" s="4"/>
      <c r="J23" s="4"/>
      <c r="K23" s="4"/>
    </row>
    <row r="24" ht="15.75" customHeight="1">
      <c r="E24" s="4"/>
      <c r="F24" s="4"/>
      <c r="G24" s="4"/>
      <c r="H24" s="4"/>
      <c r="I24" s="4"/>
      <c r="J24" s="4"/>
      <c r="K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">
      <formula1>PROMOTORES!$B$3:$B$43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0.38"/>
    <col customWidth="1" min="2" max="2" width="19.13"/>
    <col customWidth="1" min="3" max="3" width="42.25"/>
    <col customWidth="1" min="4" max="4" width="5.75"/>
    <col customWidth="1" min="5" max="5" width="28.38"/>
    <col customWidth="1" min="6" max="6" width="4.5"/>
    <col customWidth="1" min="7" max="7" width="4.38"/>
    <col customWidth="1" min="8" max="8" width="4.63"/>
    <col customWidth="1" min="9" max="9" width="4.0"/>
    <col customWidth="1" min="10" max="10" width="4.38"/>
    <col customWidth="1" min="11" max="11" width="4.75"/>
    <col customWidth="1" min="12" max="12" width="4.88"/>
    <col customWidth="1" min="13" max="13" width="18.25"/>
    <col customWidth="1" min="14" max="14" width="20.38"/>
  </cols>
  <sheetData>
    <row r="1" ht="41.25" customHeight="1">
      <c r="B1" s="1" t="s">
        <v>0</v>
      </c>
      <c r="C1" s="1" t="s">
        <v>1</v>
      </c>
      <c r="D1" s="1" t="s">
        <v>2</v>
      </c>
      <c r="E1" s="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" t="s">
        <v>11</v>
      </c>
      <c r="N1" s="1" t="s">
        <v>12</v>
      </c>
    </row>
    <row r="2">
      <c r="B2" s="2" t="s">
        <v>175</v>
      </c>
      <c r="C2" s="2" t="s">
        <v>176</v>
      </c>
      <c r="D2" s="2" t="s">
        <v>177</v>
      </c>
      <c r="E2" s="2" t="s">
        <v>178</v>
      </c>
      <c r="K2" s="3" t="s">
        <v>17</v>
      </c>
      <c r="M2" s="5">
        <f t="shared" ref="M2:M204" si="1">IF(B2="","",COUNTIF(F2:L2,"✓"))</f>
        <v>1</v>
      </c>
      <c r="N2" s="5">
        <f>IF(B2="","",IF(M2="","",ROUND(M2*'FREQUÊNCIA INDÚSTRIA'!$B$2,1)))</f>
        <v>4</v>
      </c>
    </row>
    <row r="3">
      <c r="B3" s="2" t="s">
        <v>175</v>
      </c>
      <c r="C3" s="2" t="s">
        <v>179</v>
      </c>
      <c r="D3" s="2" t="s">
        <v>177</v>
      </c>
      <c r="E3" s="2" t="s">
        <v>178</v>
      </c>
      <c r="K3" s="3" t="s">
        <v>17</v>
      </c>
      <c r="M3" s="5">
        <f t="shared" si="1"/>
        <v>1</v>
      </c>
      <c r="N3" s="5">
        <f>IF(B3="","",IF(M3="","",ROUND(M3*'FREQUÊNCIA INDÚSTRIA'!$B$2,1)))</f>
        <v>4</v>
      </c>
    </row>
    <row r="4">
      <c r="B4" s="2" t="s">
        <v>175</v>
      </c>
      <c r="C4" s="2" t="s">
        <v>179</v>
      </c>
      <c r="D4" s="2" t="s">
        <v>177</v>
      </c>
      <c r="E4" s="2" t="s">
        <v>178</v>
      </c>
      <c r="G4" s="3" t="s">
        <v>17</v>
      </c>
      <c r="M4" s="5">
        <f t="shared" si="1"/>
        <v>1</v>
      </c>
      <c r="N4" s="5">
        <f>IF(B4="","",IF(M4="","",ROUND(M4*'FREQUÊNCIA INDÚSTRIA'!$B$2,1)))</f>
        <v>4</v>
      </c>
    </row>
    <row r="5">
      <c r="B5" s="2" t="s">
        <v>175</v>
      </c>
      <c r="C5" s="2" t="s">
        <v>176</v>
      </c>
      <c r="D5" s="2" t="s">
        <v>177</v>
      </c>
      <c r="E5" s="2" t="s">
        <v>178</v>
      </c>
      <c r="G5" s="3" t="s">
        <v>17</v>
      </c>
      <c r="M5" s="5">
        <f t="shared" si="1"/>
        <v>1</v>
      </c>
      <c r="N5" s="5">
        <f>IF(B5="","",IF(M5="","",ROUND(M5*'FREQUÊNCIA INDÚSTRIA'!$B$2,1)))</f>
        <v>4</v>
      </c>
    </row>
    <row r="6">
      <c r="B6" s="2" t="s">
        <v>180</v>
      </c>
      <c r="C6" s="2" t="s">
        <v>181</v>
      </c>
      <c r="D6" s="2" t="s">
        <v>177</v>
      </c>
      <c r="E6" s="2" t="s">
        <v>178</v>
      </c>
      <c r="J6" s="3" t="s">
        <v>17</v>
      </c>
      <c r="M6" s="5">
        <f t="shared" si="1"/>
        <v>1</v>
      </c>
      <c r="N6" s="5">
        <f>IF(B6="","",IF(M6="","",ROUND(M6*'FREQUÊNCIA INDÚSTRIA'!$B$2,1)))</f>
        <v>4</v>
      </c>
    </row>
    <row r="7">
      <c r="B7" s="2" t="s">
        <v>180</v>
      </c>
      <c r="C7" s="2" t="s">
        <v>181</v>
      </c>
      <c r="D7" s="2" t="s">
        <v>177</v>
      </c>
      <c r="E7" s="2" t="s">
        <v>178</v>
      </c>
      <c r="H7" s="3" t="s">
        <v>17</v>
      </c>
      <c r="M7" s="5">
        <f t="shared" si="1"/>
        <v>1</v>
      </c>
      <c r="N7" s="5">
        <f>IF(B7="","",IF(M7="","",ROUND(M7*'FREQUÊNCIA INDÚSTRIA'!$B$2,1)))</f>
        <v>4</v>
      </c>
    </row>
    <row r="8">
      <c r="B8" s="2" t="s">
        <v>13</v>
      </c>
      <c r="C8" s="2" t="s">
        <v>182</v>
      </c>
      <c r="D8" s="2" t="s">
        <v>177</v>
      </c>
      <c r="E8" s="2" t="s">
        <v>178</v>
      </c>
      <c r="I8" s="3" t="s">
        <v>17</v>
      </c>
      <c r="M8" s="5">
        <f t="shared" si="1"/>
        <v>1</v>
      </c>
      <c r="N8" s="5">
        <f>IF(B8="","",IF(M8="","",ROUND(M8*'FREQUÊNCIA INDÚSTRIA'!$B$2,1)))</f>
        <v>4</v>
      </c>
    </row>
    <row r="9">
      <c r="B9" s="2" t="s">
        <v>13</v>
      </c>
      <c r="C9" s="2" t="s">
        <v>179</v>
      </c>
      <c r="D9" s="2" t="s">
        <v>177</v>
      </c>
      <c r="E9" s="2" t="s">
        <v>178</v>
      </c>
      <c r="G9" s="3" t="s">
        <v>17</v>
      </c>
      <c r="M9" s="5">
        <f t="shared" si="1"/>
        <v>1</v>
      </c>
      <c r="N9" s="5">
        <f>IF(B9="","",IF(M9="","",ROUND(M9*'FREQUÊNCIA INDÚSTRIA'!$B$2,1)))</f>
        <v>4</v>
      </c>
    </row>
    <row r="10">
      <c r="B10" s="2" t="s">
        <v>13</v>
      </c>
      <c r="C10" s="2" t="s">
        <v>183</v>
      </c>
      <c r="D10" s="2" t="s">
        <v>177</v>
      </c>
      <c r="E10" s="2" t="s">
        <v>178</v>
      </c>
      <c r="F10" s="3" t="s">
        <v>17</v>
      </c>
      <c r="M10" s="5">
        <f t="shared" si="1"/>
        <v>1</v>
      </c>
      <c r="N10" s="5">
        <f>IF(B10="","",IF(M10="","",ROUND(M10*'FREQUÊNCIA INDÚSTRIA'!$B$2,1)))</f>
        <v>4</v>
      </c>
    </row>
    <row r="11">
      <c r="B11" s="2" t="s">
        <v>13</v>
      </c>
      <c r="C11" s="2" t="s">
        <v>184</v>
      </c>
      <c r="D11" s="2" t="s">
        <v>177</v>
      </c>
      <c r="E11" s="2" t="s">
        <v>178</v>
      </c>
      <c r="F11" s="3" t="s">
        <v>17</v>
      </c>
      <c r="M11" s="5">
        <f t="shared" si="1"/>
        <v>1</v>
      </c>
      <c r="N11" s="5">
        <f>IF(B11="","",IF(M11="","",ROUND(M11*'FREQUÊNCIA INDÚSTRIA'!$B$2,1)))</f>
        <v>4</v>
      </c>
    </row>
    <row r="12">
      <c r="B12" s="2" t="s">
        <v>185</v>
      </c>
      <c r="C12" s="2" t="s">
        <v>176</v>
      </c>
      <c r="D12" s="2" t="s">
        <v>177</v>
      </c>
      <c r="E12" s="2" t="s">
        <v>178</v>
      </c>
      <c r="K12" s="3" t="s">
        <v>17</v>
      </c>
      <c r="M12" s="5">
        <f t="shared" si="1"/>
        <v>1</v>
      </c>
      <c r="N12" s="5">
        <f>IF(B12="","",IF(M12="","",ROUND(M12*'FREQUÊNCIA INDÚSTRIA'!$B$2,1)))</f>
        <v>4</v>
      </c>
    </row>
    <row r="13">
      <c r="B13" s="2" t="s">
        <v>185</v>
      </c>
      <c r="C13" s="2" t="s">
        <v>179</v>
      </c>
      <c r="D13" s="2" t="s">
        <v>177</v>
      </c>
      <c r="E13" s="2" t="s">
        <v>178</v>
      </c>
      <c r="K13" s="3" t="s">
        <v>17</v>
      </c>
      <c r="M13" s="5">
        <f t="shared" si="1"/>
        <v>1</v>
      </c>
      <c r="N13" s="5">
        <f>IF(B13="","",IF(M13="","",ROUND(M13*'FREQUÊNCIA INDÚSTRIA'!$B$2,1)))</f>
        <v>4</v>
      </c>
    </row>
    <row r="14">
      <c r="B14" s="2" t="s">
        <v>185</v>
      </c>
      <c r="C14" s="2" t="s">
        <v>179</v>
      </c>
      <c r="D14" s="2" t="s">
        <v>177</v>
      </c>
      <c r="E14" s="2" t="s">
        <v>178</v>
      </c>
      <c r="G14" s="3" t="s">
        <v>17</v>
      </c>
      <c r="M14" s="5">
        <f t="shared" si="1"/>
        <v>1</v>
      </c>
      <c r="N14" s="5">
        <f>IF(B14="","",IF(M14="","",ROUND(M14*'FREQUÊNCIA INDÚSTRIA'!$B$2,1)))</f>
        <v>4</v>
      </c>
    </row>
    <row r="15">
      <c r="B15" s="2" t="s">
        <v>185</v>
      </c>
      <c r="C15" s="2" t="s">
        <v>176</v>
      </c>
      <c r="D15" s="2" t="s">
        <v>177</v>
      </c>
      <c r="E15" s="2" t="s">
        <v>178</v>
      </c>
      <c r="G15" s="3" t="s">
        <v>17</v>
      </c>
      <c r="M15" s="5">
        <f t="shared" si="1"/>
        <v>1</v>
      </c>
      <c r="N15" s="5">
        <f>IF(B15="","",IF(M15="","",ROUND(M15*'FREQUÊNCIA INDÚSTRIA'!$B$2,1)))</f>
        <v>4</v>
      </c>
    </row>
    <row r="16">
      <c r="B16" s="2" t="s">
        <v>35</v>
      </c>
      <c r="C16" s="2" t="s">
        <v>181</v>
      </c>
      <c r="D16" s="2" t="s">
        <v>177</v>
      </c>
      <c r="E16" s="2" t="s">
        <v>178</v>
      </c>
      <c r="J16" s="3" t="s">
        <v>17</v>
      </c>
      <c r="M16" s="5">
        <f t="shared" si="1"/>
        <v>1</v>
      </c>
      <c r="N16" s="5">
        <f>IF(B16="","",IF(M16="","",ROUND(M16*'FREQUÊNCIA INDÚSTRIA'!$B$2,1)))</f>
        <v>4</v>
      </c>
    </row>
    <row r="17">
      <c r="B17" s="2" t="s">
        <v>35</v>
      </c>
      <c r="C17" s="2" t="s">
        <v>181</v>
      </c>
      <c r="D17" s="2" t="s">
        <v>177</v>
      </c>
      <c r="E17" s="2" t="s">
        <v>178</v>
      </c>
      <c r="H17" s="3" t="s">
        <v>17</v>
      </c>
      <c r="M17" s="5">
        <f t="shared" si="1"/>
        <v>1</v>
      </c>
      <c r="N17" s="5">
        <f>IF(B17="","",IF(M17="","",ROUND(M17*'FREQUÊNCIA INDÚSTRIA'!$B$2,1)))</f>
        <v>4</v>
      </c>
    </row>
    <row r="18">
      <c r="B18" s="2" t="s">
        <v>56</v>
      </c>
      <c r="C18" s="2" t="s">
        <v>182</v>
      </c>
      <c r="D18" s="2" t="s">
        <v>177</v>
      </c>
      <c r="E18" s="2" t="s">
        <v>178</v>
      </c>
      <c r="I18" s="3" t="s">
        <v>17</v>
      </c>
      <c r="M18" s="5">
        <f t="shared" si="1"/>
        <v>1</v>
      </c>
      <c r="N18" s="5">
        <f>IF(B18="","",IF(M18="","",ROUND(M18*'FREQUÊNCIA INDÚSTRIA'!$B$2,1)))</f>
        <v>4</v>
      </c>
    </row>
    <row r="19">
      <c r="B19" s="2" t="s">
        <v>56</v>
      </c>
      <c r="C19" s="2" t="s">
        <v>182</v>
      </c>
      <c r="D19" s="2" t="s">
        <v>177</v>
      </c>
      <c r="E19" s="2" t="s">
        <v>178</v>
      </c>
      <c r="F19" s="3" t="s">
        <v>17</v>
      </c>
      <c r="M19" s="5">
        <f t="shared" si="1"/>
        <v>1</v>
      </c>
      <c r="N19" s="5">
        <f>IF(B19="","",IF(M19="","",ROUND(M19*'FREQUÊNCIA INDÚSTRIA'!$B$2,1)))</f>
        <v>4</v>
      </c>
    </row>
    <row r="20">
      <c r="B20" s="2" t="s">
        <v>186</v>
      </c>
      <c r="C20" s="2" t="s">
        <v>181</v>
      </c>
      <c r="D20" s="2" t="s">
        <v>177</v>
      </c>
      <c r="E20" s="2" t="s">
        <v>178</v>
      </c>
      <c r="J20" s="3" t="s">
        <v>17</v>
      </c>
      <c r="M20" s="5">
        <f t="shared" si="1"/>
        <v>1</v>
      </c>
      <c r="N20" s="5">
        <f>IF(B20="","",IF(M20="","",ROUND(M20*'FREQUÊNCIA INDÚSTRIA'!$B$2,1)))</f>
        <v>4</v>
      </c>
    </row>
    <row r="21" ht="15.75" customHeight="1">
      <c r="B21" s="2" t="s">
        <v>186</v>
      </c>
      <c r="C21" s="2" t="s">
        <v>181</v>
      </c>
      <c r="D21" s="2" t="s">
        <v>177</v>
      </c>
      <c r="E21" s="2" t="s">
        <v>178</v>
      </c>
      <c r="H21" s="3" t="s">
        <v>17</v>
      </c>
      <c r="M21" s="5">
        <f t="shared" si="1"/>
        <v>1</v>
      </c>
      <c r="N21" s="5">
        <f>IF(B21="","",IF(M21="","",ROUND(M21*'FREQUÊNCIA INDÚSTRIA'!$B$2,1)))</f>
        <v>4</v>
      </c>
    </row>
    <row r="22" ht="15.75" customHeight="1">
      <c r="B22" s="2" t="s">
        <v>187</v>
      </c>
      <c r="C22" s="2" t="s">
        <v>188</v>
      </c>
      <c r="D22" s="2" t="s">
        <v>177</v>
      </c>
      <c r="E22" s="2" t="s">
        <v>189</v>
      </c>
      <c r="J22" s="3" t="s">
        <v>17</v>
      </c>
      <c r="M22" s="5">
        <f t="shared" si="1"/>
        <v>1</v>
      </c>
      <c r="N22" s="5">
        <f>IF(B22="","",IF(M22="","",ROUND(M22*'FREQUÊNCIA INDÚSTRIA'!$B$2,1)))</f>
        <v>4</v>
      </c>
    </row>
    <row r="23" ht="15.75" customHeight="1">
      <c r="B23" s="2" t="s">
        <v>187</v>
      </c>
      <c r="C23" s="2" t="s">
        <v>188</v>
      </c>
      <c r="D23" s="2" t="s">
        <v>177</v>
      </c>
      <c r="E23" s="2" t="s">
        <v>189</v>
      </c>
      <c r="H23" s="3" t="s">
        <v>17</v>
      </c>
      <c r="M23" s="5">
        <f t="shared" si="1"/>
        <v>1</v>
      </c>
      <c r="N23" s="5">
        <f>IF(B23="","",IF(M23="","",ROUND(M23*'FREQUÊNCIA INDÚSTRIA'!$B$2,1)))</f>
        <v>4</v>
      </c>
    </row>
    <row r="24" ht="15.75" customHeight="1">
      <c r="B24" s="2" t="s">
        <v>187</v>
      </c>
      <c r="C24" s="2" t="s">
        <v>188</v>
      </c>
      <c r="D24" s="2" t="s">
        <v>177</v>
      </c>
      <c r="E24" s="2" t="s">
        <v>189</v>
      </c>
      <c r="F24" s="3" t="s">
        <v>17</v>
      </c>
      <c r="M24" s="5">
        <f t="shared" si="1"/>
        <v>1</v>
      </c>
      <c r="N24" s="5">
        <f>IF(B24="","",IF(M24="","",ROUND(M24*'FREQUÊNCIA INDÚSTRIA'!$B$2,1)))</f>
        <v>4</v>
      </c>
    </row>
    <row r="25" ht="15.75" customHeight="1">
      <c r="B25" s="2" t="s">
        <v>185</v>
      </c>
      <c r="C25" s="2" t="s">
        <v>188</v>
      </c>
      <c r="D25" s="2" t="s">
        <v>177</v>
      </c>
      <c r="E25" s="2" t="s">
        <v>189</v>
      </c>
      <c r="J25" s="3" t="s">
        <v>17</v>
      </c>
      <c r="M25" s="5">
        <f t="shared" si="1"/>
        <v>1</v>
      </c>
      <c r="N25" s="5">
        <f>IF(B25="","",IF(M25="","",ROUND(M25*'FREQUÊNCIA INDÚSTRIA'!$B$2,1)))</f>
        <v>4</v>
      </c>
    </row>
    <row r="26" ht="15.75" customHeight="1">
      <c r="B26" s="2" t="s">
        <v>185</v>
      </c>
      <c r="C26" s="2" t="s">
        <v>188</v>
      </c>
      <c r="D26" s="2" t="s">
        <v>177</v>
      </c>
      <c r="E26" s="2" t="s">
        <v>189</v>
      </c>
      <c r="H26" s="3" t="s">
        <v>17</v>
      </c>
      <c r="M26" s="5">
        <f t="shared" si="1"/>
        <v>1</v>
      </c>
      <c r="N26" s="5">
        <f>IF(B26="","",IF(M26="","",ROUND(M26*'FREQUÊNCIA INDÚSTRIA'!$B$2,1)))</f>
        <v>4</v>
      </c>
    </row>
    <row r="27" ht="15.75" customHeight="1">
      <c r="B27" s="2" t="s">
        <v>185</v>
      </c>
      <c r="C27" s="2" t="s">
        <v>188</v>
      </c>
      <c r="D27" s="2" t="s">
        <v>177</v>
      </c>
      <c r="E27" s="2" t="s">
        <v>189</v>
      </c>
      <c r="F27" s="3" t="s">
        <v>17</v>
      </c>
      <c r="M27" s="5">
        <f t="shared" si="1"/>
        <v>1</v>
      </c>
      <c r="N27" s="5">
        <f>IF(B27="","",IF(M27="","",ROUND(M27*'FREQUÊNCIA INDÚSTRIA'!$B$2,1)))</f>
        <v>4</v>
      </c>
    </row>
    <row r="28" ht="15.75" customHeight="1">
      <c r="B28" s="2" t="s">
        <v>186</v>
      </c>
      <c r="C28" s="2" t="s">
        <v>188</v>
      </c>
      <c r="D28" s="2" t="s">
        <v>177</v>
      </c>
      <c r="E28" s="2" t="s">
        <v>189</v>
      </c>
      <c r="J28" s="3" t="s">
        <v>17</v>
      </c>
      <c r="M28" s="5">
        <f t="shared" si="1"/>
        <v>1</v>
      </c>
      <c r="N28" s="5">
        <f>IF(B28="","",IF(M28="","",ROUND(M28*'FREQUÊNCIA INDÚSTRIA'!$B$2,1)))</f>
        <v>4</v>
      </c>
    </row>
    <row r="29" ht="15.75" customHeight="1">
      <c r="B29" s="2" t="s">
        <v>186</v>
      </c>
      <c r="C29" s="2" t="s">
        <v>188</v>
      </c>
      <c r="D29" s="2" t="s">
        <v>177</v>
      </c>
      <c r="E29" s="2" t="s">
        <v>189</v>
      </c>
      <c r="H29" s="3" t="s">
        <v>17</v>
      </c>
      <c r="M29" s="5">
        <f t="shared" si="1"/>
        <v>1</v>
      </c>
      <c r="N29" s="5">
        <f>IF(B29="","",IF(M29="","",ROUND(M29*'FREQUÊNCIA INDÚSTRIA'!$B$2,1)))</f>
        <v>4</v>
      </c>
    </row>
    <row r="30" ht="15.75" customHeight="1">
      <c r="B30" s="2" t="s">
        <v>186</v>
      </c>
      <c r="C30" s="2" t="s">
        <v>188</v>
      </c>
      <c r="D30" s="2" t="s">
        <v>177</v>
      </c>
      <c r="E30" s="2" t="s">
        <v>189</v>
      </c>
      <c r="F30" s="3" t="s">
        <v>17</v>
      </c>
      <c r="M30" s="5">
        <f t="shared" si="1"/>
        <v>1</v>
      </c>
      <c r="N30" s="5">
        <f>IF(B30="","",IF(M30="","",ROUND(M30*'FREQUÊNCIA INDÚSTRIA'!$B$2,1)))</f>
        <v>4</v>
      </c>
    </row>
    <row r="31" ht="15.75" customHeight="1">
      <c r="B31" s="2" t="s">
        <v>187</v>
      </c>
      <c r="C31" s="2" t="s">
        <v>190</v>
      </c>
      <c r="D31" s="2" t="s">
        <v>177</v>
      </c>
      <c r="E31" s="2" t="s">
        <v>189</v>
      </c>
      <c r="J31" s="3" t="s">
        <v>17</v>
      </c>
      <c r="M31" s="5">
        <f t="shared" si="1"/>
        <v>1</v>
      </c>
      <c r="N31" s="5">
        <f>IF(B31="","",IF(M31="","",ROUND(M31*'FREQUÊNCIA INDÚSTRIA'!$B$2,1)))</f>
        <v>4</v>
      </c>
    </row>
    <row r="32" ht="15.75" customHeight="1">
      <c r="B32" s="2" t="s">
        <v>187</v>
      </c>
      <c r="C32" s="2" t="s">
        <v>190</v>
      </c>
      <c r="D32" s="2" t="s">
        <v>177</v>
      </c>
      <c r="E32" s="2" t="s">
        <v>189</v>
      </c>
      <c r="H32" s="3" t="s">
        <v>17</v>
      </c>
      <c r="M32" s="5">
        <f t="shared" si="1"/>
        <v>1</v>
      </c>
      <c r="N32" s="5">
        <f>IF(B32="","",IF(M32="","",ROUND(M32*'FREQUÊNCIA INDÚSTRIA'!$B$2,1)))</f>
        <v>4</v>
      </c>
    </row>
    <row r="33" ht="15.75" customHeight="1">
      <c r="B33" s="2" t="s">
        <v>187</v>
      </c>
      <c r="C33" s="2" t="s">
        <v>190</v>
      </c>
      <c r="D33" s="2" t="s">
        <v>177</v>
      </c>
      <c r="E33" s="2" t="s">
        <v>189</v>
      </c>
      <c r="F33" s="3" t="s">
        <v>17</v>
      </c>
      <c r="M33" s="5">
        <f t="shared" si="1"/>
        <v>1</v>
      </c>
      <c r="N33" s="5">
        <f>IF(B33="","",IF(M33="","",ROUND(M33*'FREQUÊNCIA INDÚSTRIA'!$B$2,1)))</f>
        <v>4</v>
      </c>
    </row>
    <row r="34" ht="15.75" customHeight="1">
      <c r="B34" s="2" t="s">
        <v>13</v>
      </c>
      <c r="C34" s="2" t="s">
        <v>190</v>
      </c>
      <c r="D34" s="2" t="s">
        <v>177</v>
      </c>
      <c r="E34" s="2" t="s">
        <v>189</v>
      </c>
      <c r="F34" s="3" t="s">
        <v>17</v>
      </c>
      <c r="M34" s="5">
        <f t="shared" si="1"/>
        <v>1</v>
      </c>
      <c r="N34" s="5">
        <f>IF(B34="","",IF(M34="","",ROUND(M34*'FREQUÊNCIA INDÚSTRIA'!$B$2,1)))</f>
        <v>4</v>
      </c>
    </row>
    <row r="35" ht="15.75" customHeight="1">
      <c r="B35" s="2" t="s">
        <v>185</v>
      </c>
      <c r="C35" s="2" t="s">
        <v>190</v>
      </c>
      <c r="D35" s="2" t="s">
        <v>177</v>
      </c>
      <c r="E35" s="2" t="s">
        <v>189</v>
      </c>
      <c r="J35" s="3" t="s">
        <v>17</v>
      </c>
      <c r="M35" s="5">
        <f t="shared" si="1"/>
        <v>1</v>
      </c>
      <c r="N35" s="5">
        <f>IF(B35="","",IF(M35="","",ROUND(M35*'FREQUÊNCIA INDÚSTRIA'!$B$2,1)))</f>
        <v>4</v>
      </c>
    </row>
    <row r="36" ht="15.75" customHeight="1">
      <c r="B36" s="2" t="s">
        <v>185</v>
      </c>
      <c r="C36" s="2" t="s">
        <v>190</v>
      </c>
      <c r="D36" s="2" t="s">
        <v>177</v>
      </c>
      <c r="E36" s="2" t="s">
        <v>189</v>
      </c>
      <c r="H36" s="3" t="s">
        <v>17</v>
      </c>
      <c r="M36" s="5">
        <f t="shared" si="1"/>
        <v>1</v>
      </c>
      <c r="N36" s="5">
        <f>IF(B36="","",IF(M36="","",ROUND(M36*'FREQUÊNCIA INDÚSTRIA'!$B$2,1)))</f>
        <v>4</v>
      </c>
    </row>
    <row r="37" ht="15.75" customHeight="1">
      <c r="B37" s="2" t="s">
        <v>185</v>
      </c>
      <c r="C37" s="2" t="s">
        <v>190</v>
      </c>
      <c r="D37" s="2" t="s">
        <v>177</v>
      </c>
      <c r="E37" s="2" t="s">
        <v>189</v>
      </c>
      <c r="F37" s="3" t="s">
        <v>17</v>
      </c>
      <c r="M37" s="5">
        <f t="shared" si="1"/>
        <v>1</v>
      </c>
      <c r="N37" s="5">
        <f>IF(B37="","",IF(M37="","",ROUND(M37*'FREQUÊNCIA INDÚSTRIA'!$B$2,1)))</f>
        <v>4</v>
      </c>
    </row>
    <row r="38" ht="15.75" customHeight="1">
      <c r="B38" s="2" t="s">
        <v>186</v>
      </c>
      <c r="C38" s="2" t="s">
        <v>190</v>
      </c>
      <c r="D38" s="2" t="s">
        <v>177</v>
      </c>
      <c r="E38" s="2" t="s">
        <v>189</v>
      </c>
      <c r="J38" s="3" t="s">
        <v>17</v>
      </c>
      <c r="M38" s="5">
        <f t="shared" si="1"/>
        <v>1</v>
      </c>
      <c r="N38" s="5">
        <f>IF(B38="","",IF(M38="","",ROUND(M38*'FREQUÊNCIA INDÚSTRIA'!$B$2,1)))</f>
        <v>4</v>
      </c>
    </row>
    <row r="39" ht="15.75" customHeight="1">
      <c r="B39" s="2" t="s">
        <v>186</v>
      </c>
      <c r="C39" s="2" t="s">
        <v>190</v>
      </c>
      <c r="D39" s="2" t="s">
        <v>177</v>
      </c>
      <c r="E39" s="2" t="s">
        <v>189</v>
      </c>
      <c r="H39" s="3" t="s">
        <v>17</v>
      </c>
      <c r="M39" s="5">
        <f t="shared" si="1"/>
        <v>1</v>
      </c>
      <c r="N39" s="5">
        <f>IF(B39="","",IF(M39="","",ROUND(M39*'FREQUÊNCIA INDÚSTRIA'!$B$2,1)))</f>
        <v>4</v>
      </c>
    </row>
    <row r="40" ht="15.75" customHeight="1">
      <c r="B40" s="2" t="s">
        <v>186</v>
      </c>
      <c r="C40" s="2" t="s">
        <v>190</v>
      </c>
      <c r="D40" s="2" t="s">
        <v>177</v>
      </c>
      <c r="E40" s="2" t="s">
        <v>189</v>
      </c>
      <c r="F40" s="3" t="s">
        <v>17</v>
      </c>
      <c r="M40" s="5">
        <f t="shared" si="1"/>
        <v>1</v>
      </c>
      <c r="N40" s="5">
        <f>IF(B40="","",IF(M40="","",ROUND(M40*'FREQUÊNCIA INDÚSTRIA'!$B$2,1)))</f>
        <v>4</v>
      </c>
    </row>
    <row r="41" ht="15.75" customHeight="1">
      <c r="B41" s="2" t="s">
        <v>187</v>
      </c>
      <c r="C41" s="2" t="s">
        <v>191</v>
      </c>
      <c r="D41" s="2" t="s">
        <v>177</v>
      </c>
      <c r="E41" s="2" t="s">
        <v>189</v>
      </c>
      <c r="K41" s="3" t="s">
        <v>17</v>
      </c>
      <c r="M41" s="5">
        <f t="shared" si="1"/>
        <v>1</v>
      </c>
      <c r="N41" s="5">
        <f>IF(B41="","",IF(M41="","",ROUND(M41*'FREQUÊNCIA INDÚSTRIA'!$B$2,1)))</f>
        <v>4</v>
      </c>
    </row>
    <row r="42" ht="15.75" customHeight="1">
      <c r="B42" s="2" t="s">
        <v>187</v>
      </c>
      <c r="C42" s="2" t="s">
        <v>191</v>
      </c>
      <c r="D42" s="2" t="s">
        <v>177</v>
      </c>
      <c r="E42" s="2" t="s">
        <v>189</v>
      </c>
      <c r="I42" s="3" t="s">
        <v>17</v>
      </c>
      <c r="M42" s="5">
        <f t="shared" si="1"/>
        <v>1</v>
      </c>
      <c r="N42" s="5">
        <f>IF(B42="","",IF(M42="","",ROUND(M42*'FREQUÊNCIA INDÚSTRIA'!$B$2,1)))</f>
        <v>4</v>
      </c>
    </row>
    <row r="43" ht="15.75" customHeight="1">
      <c r="B43" s="2" t="s">
        <v>192</v>
      </c>
      <c r="C43" s="2" t="s">
        <v>191</v>
      </c>
      <c r="D43" s="2" t="s">
        <v>177</v>
      </c>
      <c r="E43" s="2" t="s">
        <v>189</v>
      </c>
      <c r="H43" s="3" t="s">
        <v>17</v>
      </c>
      <c r="M43" s="5">
        <f t="shared" si="1"/>
        <v>1</v>
      </c>
      <c r="N43" s="5">
        <f>IF(B43="","",IF(M43="","",ROUND(M43*'FREQUÊNCIA INDÚSTRIA'!$B$2,1)))</f>
        <v>4</v>
      </c>
    </row>
    <row r="44" ht="15.75" customHeight="1">
      <c r="B44" s="2" t="s">
        <v>187</v>
      </c>
      <c r="C44" s="2" t="s">
        <v>191</v>
      </c>
      <c r="D44" s="2" t="s">
        <v>177</v>
      </c>
      <c r="E44" s="2" t="s">
        <v>189</v>
      </c>
      <c r="G44" s="3" t="s">
        <v>17</v>
      </c>
      <c r="M44" s="5">
        <f t="shared" si="1"/>
        <v>1</v>
      </c>
      <c r="N44" s="5">
        <f>IF(B44="","",IF(M44="","",ROUND(M44*'FREQUÊNCIA INDÚSTRIA'!$B$2,1)))</f>
        <v>4</v>
      </c>
    </row>
    <row r="45" ht="15.75" customHeight="1">
      <c r="B45" s="2" t="s">
        <v>185</v>
      </c>
      <c r="C45" s="2" t="s">
        <v>191</v>
      </c>
      <c r="D45" s="2" t="s">
        <v>177</v>
      </c>
      <c r="E45" s="2" t="s">
        <v>189</v>
      </c>
      <c r="K45" s="3" t="s">
        <v>17</v>
      </c>
      <c r="M45" s="5">
        <f t="shared" si="1"/>
        <v>1</v>
      </c>
      <c r="N45" s="5">
        <f>IF(B45="","",IF(M45="","",ROUND(M45*'FREQUÊNCIA INDÚSTRIA'!$B$2,1)))</f>
        <v>4</v>
      </c>
    </row>
    <row r="46" ht="15.75" customHeight="1">
      <c r="B46" s="2" t="s">
        <v>185</v>
      </c>
      <c r="C46" s="2" t="s">
        <v>191</v>
      </c>
      <c r="D46" s="2" t="s">
        <v>177</v>
      </c>
      <c r="E46" s="2" t="s">
        <v>189</v>
      </c>
      <c r="I46" s="3" t="s">
        <v>17</v>
      </c>
      <c r="M46" s="5">
        <f t="shared" si="1"/>
        <v>1</v>
      </c>
      <c r="N46" s="5">
        <f>IF(B46="","",IF(M46="","",ROUND(M46*'FREQUÊNCIA INDÚSTRIA'!$B$2,1)))</f>
        <v>4</v>
      </c>
    </row>
    <row r="47" ht="15.75" customHeight="1">
      <c r="B47" s="2" t="s">
        <v>185</v>
      </c>
      <c r="C47" s="2" t="s">
        <v>191</v>
      </c>
      <c r="D47" s="2" t="s">
        <v>177</v>
      </c>
      <c r="E47" s="2" t="s">
        <v>189</v>
      </c>
      <c r="G47" s="3" t="s">
        <v>17</v>
      </c>
      <c r="M47" s="5">
        <f t="shared" si="1"/>
        <v>1</v>
      </c>
      <c r="N47" s="5">
        <f>IF(B47="","",IF(M47="","",ROUND(M47*'FREQUÊNCIA INDÚSTRIA'!$B$2,1)))</f>
        <v>4</v>
      </c>
    </row>
    <row r="48" ht="15.75" customHeight="1">
      <c r="B48" s="2" t="s">
        <v>193</v>
      </c>
      <c r="C48" s="2" t="s">
        <v>194</v>
      </c>
      <c r="D48" s="2" t="s">
        <v>177</v>
      </c>
      <c r="E48" s="2" t="s">
        <v>189</v>
      </c>
      <c r="J48" s="3" t="s">
        <v>17</v>
      </c>
      <c r="M48" s="5">
        <f t="shared" si="1"/>
        <v>1</v>
      </c>
      <c r="N48" s="5">
        <f>IF(B48="","",IF(M48="","",ROUND(M48*'FREQUÊNCIA INDÚSTRIA'!$B$2,1)))</f>
        <v>4</v>
      </c>
    </row>
    <row r="49" ht="15.75" customHeight="1">
      <c r="B49" s="2" t="s">
        <v>193</v>
      </c>
      <c r="C49" s="2" t="s">
        <v>194</v>
      </c>
      <c r="D49" s="2" t="s">
        <v>177</v>
      </c>
      <c r="E49" s="2" t="s">
        <v>189</v>
      </c>
      <c r="F49" s="3" t="s">
        <v>17</v>
      </c>
      <c r="M49" s="5">
        <f t="shared" si="1"/>
        <v>1</v>
      </c>
      <c r="N49" s="5">
        <f>IF(B49="","",IF(M49="","",ROUND(M49*'FREQUÊNCIA INDÚSTRIA'!$B$2,1)))</f>
        <v>4</v>
      </c>
    </row>
    <row r="50" ht="15.75" customHeight="1">
      <c r="B50" s="2" t="s">
        <v>175</v>
      </c>
      <c r="C50" s="2" t="s">
        <v>195</v>
      </c>
      <c r="D50" s="2" t="s">
        <v>177</v>
      </c>
      <c r="E50" s="2" t="s">
        <v>196</v>
      </c>
      <c r="F50" s="3" t="s">
        <v>17</v>
      </c>
      <c r="H50" s="3" t="s">
        <v>17</v>
      </c>
      <c r="J50" s="3" t="s">
        <v>17</v>
      </c>
      <c r="M50" s="5">
        <f t="shared" si="1"/>
        <v>3</v>
      </c>
      <c r="N50" s="5">
        <f>IF(B50="","",IF(M50="","",ROUND(M50*'FREQUÊNCIA INDÚSTRIA'!$B$2,1)))</f>
        <v>12</v>
      </c>
    </row>
    <row r="51" ht="15.75" customHeight="1">
      <c r="B51" s="2" t="s">
        <v>180</v>
      </c>
      <c r="C51" s="2" t="s">
        <v>197</v>
      </c>
      <c r="D51" s="2" t="s">
        <v>177</v>
      </c>
      <c r="E51" s="2" t="s">
        <v>196</v>
      </c>
      <c r="G51" s="3" t="s">
        <v>17</v>
      </c>
      <c r="I51" s="3" t="s">
        <v>17</v>
      </c>
      <c r="J51" s="3" t="s">
        <v>17</v>
      </c>
      <c r="M51" s="5">
        <f t="shared" si="1"/>
        <v>3</v>
      </c>
      <c r="N51" s="5">
        <f>IF(B51="","",IF(M51="","",ROUND(M51*'FREQUÊNCIA INDÚSTRIA'!$B$2,1)))</f>
        <v>12</v>
      </c>
    </row>
    <row r="52" ht="15.75" customHeight="1">
      <c r="B52" s="2" t="s">
        <v>13</v>
      </c>
      <c r="C52" s="2" t="s">
        <v>198</v>
      </c>
      <c r="D52" s="2" t="s">
        <v>177</v>
      </c>
      <c r="E52" s="2" t="s">
        <v>196</v>
      </c>
      <c r="F52" s="3" t="s">
        <v>17</v>
      </c>
      <c r="G52" s="12"/>
      <c r="H52" s="3" t="s">
        <v>17</v>
      </c>
      <c r="I52" s="12"/>
      <c r="J52" s="12"/>
      <c r="K52" s="3" t="s">
        <v>17</v>
      </c>
      <c r="L52" s="12"/>
      <c r="M52" s="5">
        <f t="shared" si="1"/>
        <v>3</v>
      </c>
      <c r="N52" s="5">
        <f>IF(B52="","",IF(M52="","",ROUND(M52*'FREQUÊNCIA INDÚSTRIA'!$B$2,1)))</f>
        <v>12</v>
      </c>
    </row>
    <row r="53" ht="15.75" customHeight="1">
      <c r="B53" s="2" t="s">
        <v>13</v>
      </c>
      <c r="C53" s="2" t="s">
        <v>199</v>
      </c>
      <c r="D53" s="2" t="s">
        <v>177</v>
      </c>
      <c r="E53" s="2" t="s">
        <v>196</v>
      </c>
      <c r="G53" s="3" t="s">
        <v>17</v>
      </c>
      <c r="M53" s="5">
        <f t="shared" si="1"/>
        <v>1</v>
      </c>
      <c r="N53" s="5">
        <f>IF(B53="","",IF(M53="","",ROUND(M53*'FREQUÊNCIA INDÚSTRIA'!$B$2,1)))</f>
        <v>4</v>
      </c>
    </row>
    <row r="54" ht="15.75" customHeight="1">
      <c r="B54" s="2" t="s">
        <v>193</v>
      </c>
      <c r="C54" s="2" t="s">
        <v>200</v>
      </c>
      <c r="D54" s="2" t="s">
        <v>177</v>
      </c>
      <c r="E54" s="2" t="s">
        <v>196</v>
      </c>
      <c r="G54" s="3" t="s">
        <v>17</v>
      </c>
      <c r="M54" s="5">
        <f t="shared" si="1"/>
        <v>1</v>
      </c>
      <c r="N54" s="5">
        <f>IF(B54="","",IF(M54="","",ROUND(M54*'FREQUÊNCIA INDÚSTRIA'!$B$2,1)))</f>
        <v>4</v>
      </c>
    </row>
    <row r="55" ht="15.75" customHeight="1">
      <c r="B55" s="2" t="s">
        <v>185</v>
      </c>
      <c r="C55" s="2" t="s">
        <v>201</v>
      </c>
      <c r="D55" s="2" t="s">
        <v>177</v>
      </c>
      <c r="E55" s="2" t="s">
        <v>196</v>
      </c>
      <c r="F55" s="3" t="s">
        <v>17</v>
      </c>
      <c r="H55" s="3" t="s">
        <v>17</v>
      </c>
      <c r="J55" s="3" t="s">
        <v>17</v>
      </c>
      <c r="M55" s="5">
        <f t="shared" si="1"/>
        <v>3</v>
      </c>
      <c r="N55" s="5">
        <f>IF(B55="","",IF(M55="","",ROUND(M55*'FREQUÊNCIA INDÚSTRIA'!$B$2,1)))</f>
        <v>12</v>
      </c>
    </row>
    <row r="56" ht="15.75" customHeight="1">
      <c r="B56" s="2" t="s">
        <v>185</v>
      </c>
      <c r="C56" s="2" t="s">
        <v>195</v>
      </c>
      <c r="D56" s="2" t="s">
        <v>177</v>
      </c>
      <c r="E56" s="2" t="s">
        <v>196</v>
      </c>
      <c r="F56" s="3" t="s">
        <v>17</v>
      </c>
      <c r="H56" s="3" t="s">
        <v>17</v>
      </c>
      <c r="J56" s="3" t="s">
        <v>17</v>
      </c>
      <c r="M56" s="5">
        <f t="shared" si="1"/>
        <v>3</v>
      </c>
      <c r="N56" s="5">
        <f>IF(B56="","",IF(M56="","",ROUND(M56*'FREQUÊNCIA INDÚSTRIA'!$B$2,1)))</f>
        <v>12</v>
      </c>
    </row>
    <row r="57" ht="15.75" customHeight="1">
      <c r="B57" s="2" t="s">
        <v>35</v>
      </c>
      <c r="C57" s="2" t="s">
        <v>198</v>
      </c>
      <c r="D57" s="2" t="s">
        <v>177</v>
      </c>
      <c r="E57" s="2" t="s">
        <v>196</v>
      </c>
      <c r="F57" s="3" t="s">
        <v>17</v>
      </c>
      <c r="G57" s="12"/>
      <c r="H57" s="3" t="s">
        <v>17</v>
      </c>
      <c r="J57" s="12"/>
      <c r="K57" s="3" t="s">
        <v>17</v>
      </c>
      <c r="M57" s="5">
        <f t="shared" si="1"/>
        <v>3</v>
      </c>
      <c r="N57" s="5">
        <f>IF(B57="","",IF(M57="","",ROUND(M57*'FREQUÊNCIA INDÚSTRIA'!$B$2,1)))</f>
        <v>12</v>
      </c>
    </row>
    <row r="58" ht="15.75" customHeight="1">
      <c r="B58" s="2" t="s">
        <v>35</v>
      </c>
      <c r="C58" s="2" t="s">
        <v>197</v>
      </c>
      <c r="D58" s="2" t="s">
        <v>177</v>
      </c>
      <c r="E58" s="2" t="s">
        <v>196</v>
      </c>
      <c r="G58" s="3" t="s">
        <v>17</v>
      </c>
      <c r="I58" s="3" t="s">
        <v>17</v>
      </c>
      <c r="J58" s="3" t="s">
        <v>17</v>
      </c>
      <c r="M58" s="5">
        <f t="shared" si="1"/>
        <v>3</v>
      </c>
      <c r="N58" s="5">
        <f>IF(B58="","",IF(M58="","",ROUND(M58*'FREQUÊNCIA INDÚSTRIA'!$B$2,1)))</f>
        <v>12</v>
      </c>
    </row>
    <row r="59" ht="15.75" customHeight="1">
      <c r="B59" s="2" t="s">
        <v>56</v>
      </c>
      <c r="C59" s="2" t="s">
        <v>202</v>
      </c>
      <c r="D59" s="2" t="s">
        <v>177</v>
      </c>
      <c r="E59" s="2" t="s">
        <v>196</v>
      </c>
      <c r="I59" s="3" t="s">
        <v>17</v>
      </c>
      <c r="M59" s="5">
        <f t="shared" si="1"/>
        <v>1</v>
      </c>
      <c r="N59" s="5">
        <f>IF(B59="","",IF(M59="","",ROUND(M59*'FREQUÊNCIA INDÚSTRIA'!$B$2,1)))</f>
        <v>4</v>
      </c>
    </row>
    <row r="60" ht="15.75" customHeight="1">
      <c r="B60" s="2" t="s">
        <v>186</v>
      </c>
      <c r="C60" s="2" t="s">
        <v>197</v>
      </c>
      <c r="D60" s="2" t="s">
        <v>177</v>
      </c>
      <c r="E60" s="2" t="s">
        <v>196</v>
      </c>
      <c r="G60" s="3" t="s">
        <v>17</v>
      </c>
      <c r="H60" s="12"/>
      <c r="I60" s="3" t="s">
        <v>17</v>
      </c>
      <c r="J60" s="3" t="s">
        <v>17</v>
      </c>
      <c r="K60" s="12"/>
      <c r="L60" s="12"/>
      <c r="M60" s="5">
        <f t="shared" si="1"/>
        <v>3</v>
      </c>
      <c r="N60" s="5">
        <f>IF(B60="","",IF(M60="","",ROUND(M60*'FREQUÊNCIA INDÚSTRIA'!$B$2,1)))</f>
        <v>12</v>
      </c>
    </row>
    <row r="61" ht="15.75" customHeight="1">
      <c r="B61" s="2" t="s">
        <v>186</v>
      </c>
      <c r="C61" s="2" t="s">
        <v>195</v>
      </c>
      <c r="D61" s="2" t="s">
        <v>177</v>
      </c>
      <c r="E61" s="2" t="s">
        <v>196</v>
      </c>
      <c r="F61" s="3" t="s">
        <v>17</v>
      </c>
      <c r="H61" s="3" t="s">
        <v>17</v>
      </c>
      <c r="J61" s="3" t="s">
        <v>17</v>
      </c>
      <c r="M61" s="5">
        <f t="shared" si="1"/>
        <v>3</v>
      </c>
      <c r="N61" s="5">
        <f>IF(B61="","",IF(M61="","",ROUND(M61*'FREQUÊNCIA INDÚSTRIA'!$B$2,1)))</f>
        <v>12</v>
      </c>
    </row>
    <row r="62" ht="15.75" customHeight="1">
      <c r="B62" s="2" t="s">
        <v>13</v>
      </c>
      <c r="C62" s="2" t="s">
        <v>203</v>
      </c>
      <c r="D62" s="2" t="s">
        <v>24</v>
      </c>
      <c r="E62" s="2" t="s">
        <v>68</v>
      </c>
      <c r="G62" s="3"/>
      <c r="H62" s="3" t="s">
        <v>17</v>
      </c>
      <c r="M62" s="5">
        <f t="shared" si="1"/>
        <v>1</v>
      </c>
      <c r="N62" s="5">
        <f>IF(B62="","",IF(M62="","",ROUND(M62*'FREQUÊNCIA INDÚSTRIA'!$B$2,1)))</f>
        <v>4</v>
      </c>
    </row>
    <row r="63" ht="15.75" customHeight="1">
      <c r="B63" s="2" t="s">
        <v>13</v>
      </c>
      <c r="C63" s="2" t="s">
        <v>204</v>
      </c>
      <c r="D63" s="2" t="s">
        <v>24</v>
      </c>
      <c r="E63" s="2" t="s">
        <v>68</v>
      </c>
      <c r="F63" s="3"/>
      <c r="G63" s="3" t="s">
        <v>17</v>
      </c>
      <c r="M63" s="5">
        <f t="shared" si="1"/>
        <v>1</v>
      </c>
      <c r="N63" s="5">
        <f>IF(B63="","",IF(M63="","",ROUND(M63*'FREQUÊNCIA INDÚSTRIA'!$B$2,1)))</f>
        <v>4</v>
      </c>
    </row>
    <row r="64" ht="15.75" customHeight="1">
      <c r="B64" s="2" t="s">
        <v>13</v>
      </c>
      <c r="C64" s="2" t="s">
        <v>205</v>
      </c>
      <c r="D64" s="2" t="s">
        <v>24</v>
      </c>
      <c r="E64" s="2" t="s">
        <v>68</v>
      </c>
      <c r="F64" s="3"/>
      <c r="G64" s="3" t="s">
        <v>17</v>
      </c>
      <c r="M64" s="5">
        <f t="shared" si="1"/>
        <v>1</v>
      </c>
      <c r="N64" s="5">
        <f>IF(B64="","",IF(M64="","",ROUND(M64*'FREQUÊNCIA INDÚSTRIA'!$B$2,1)))</f>
        <v>4</v>
      </c>
    </row>
    <row r="65" ht="15.75" customHeight="1">
      <c r="B65" s="2" t="s">
        <v>185</v>
      </c>
      <c r="C65" s="2" t="s">
        <v>206</v>
      </c>
      <c r="D65" s="2" t="s">
        <v>24</v>
      </c>
      <c r="E65" s="2" t="s">
        <v>68</v>
      </c>
      <c r="K65" s="3" t="s">
        <v>17</v>
      </c>
      <c r="M65" s="5">
        <f t="shared" si="1"/>
        <v>1</v>
      </c>
      <c r="N65" s="5">
        <f>IF(B65="","",IF(M65="","",ROUND(M65*'FREQUÊNCIA INDÚSTRIA'!$B$2,1)))</f>
        <v>4</v>
      </c>
    </row>
    <row r="66" ht="15.75" customHeight="1">
      <c r="B66" s="2" t="s">
        <v>185</v>
      </c>
      <c r="C66" s="2" t="s">
        <v>203</v>
      </c>
      <c r="D66" s="2" t="s">
        <v>24</v>
      </c>
      <c r="E66" s="2" t="s">
        <v>68</v>
      </c>
      <c r="J66" s="3" t="s">
        <v>17</v>
      </c>
      <c r="M66" s="5">
        <f t="shared" si="1"/>
        <v>1</v>
      </c>
      <c r="N66" s="5">
        <f>IF(B66="","",IF(M66="","",ROUND(M66*'FREQUÊNCIA INDÚSTRIA'!$B$2,1)))</f>
        <v>4</v>
      </c>
    </row>
    <row r="67" ht="15.75" customHeight="1">
      <c r="B67" s="2" t="s">
        <v>185</v>
      </c>
      <c r="C67" s="2" t="s">
        <v>206</v>
      </c>
      <c r="D67" s="2" t="s">
        <v>24</v>
      </c>
      <c r="E67" s="2" t="s">
        <v>68</v>
      </c>
      <c r="I67" s="3" t="s">
        <v>17</v>
      </c>
      <c r="M67" s="5">
        <f t="shared" si="1"/>
        <v>1</v>
      </c>
      <c r="N67" s="5">
        <f>IF(B67="","",IF(M67="","",ROUND(M67*'FREQUÊNCIA INDÚSTRIA'!$B$2,1)))</f>
        <v>4</v>
      </c>
    </row>
    <row r="68" ht="15.75" customHeight="1">
      <c r="B68" s="2" t="s">
        <v>185</v>
      </c>
      <c r="C68" s="2" t="s">
        <v>203</v>
      </c>
      <c r="D68" s="2" t="s">
        <v>24</v>
      </c>
      <c r="E68" s="2" t="s">
        <v>68</v>
      </c>
      <c r="G68" s="3"/>
      <c r="H68" s="3" t="s">
        <v>17</v>
      </c>
      <c r="M68" s="5">
        <f t="shared" si="1"/>
        <v>1</v>
      </c>
      <c r="N68" s="5">
        <f>IF(B68="","",IF(M68="","",ROUND(M68*'FREQUÊNCIA INDÚSTRIA'!$B$2,1)))</f>
        <v>4</v>
      </c>
    </row>
    <row r="69" ht="15.75" customHeight="1">
      <c r="B69" s="2" t="s">
        <v>185</v>
      </c>
      <c r="C69" s="2" t="s">
        <v>206</v>
      </c>
      <c r="D69" s="2" t="s">
        <v>177</v>
      </c>
      <c r="E69" s="2" t="s">
        <v>68</v>
      </c>
      <c r="F69" s="3" t="s">
        <v>17</v>
      </c>
      <c r="M69" s="5">
        <f t="shared" si="1"/>
        <v>1</v>
      </c>
      <c r="N69" s="5">
        <f>IF(B69="","",IF(M69="","",ROUND(M69*'FREQUÊNCIA INDÚSTRIA'!$B$2,1)))</f>
        <v>4</v>
      </c>
    </row>
    <row r="70" ht="15.75" customHeight="1">
      <c r="B70" s="2" t="s">
        <v>186</v>
      </c>
      <c r="C70" s="2" t="s">
        <v>203</v>
      </c>
      <c r="D70" s="2" t="s">
        <v>24</v>
      </c>
      <c r="E70" s="2" t="s">
        <v>68</v>
      </c>
      <c r="J70" s="3" t="s">
        <v>17</v>
      </c>
      <c r="M70" s="5">
        <f t="shared" si="1"/>
        <v>1</v>
      </c>
      <c r="N70" s="5">
        <f>IF(B70="","",IF(M70="","",ROUND(M70*'FREQUÊNCIA INDÚSTRIA'!$B$2,1)))</f>
        <v>4</v>
      </c>
    </row>
    <row r="71" ht="15.75" customHeight="1">
      <c r="B71" s="2" t="s">
        <v>186</v>
      </c>
      <c r="C71" s="2" t="s">
        <v>203</v>
      </c>
      <c r="D71" s="2" t="s">
        <v>24</v>
      </c>
      <c r="E71" s="2" t="s">
        <v>68</v>
      </c>
      <c r="G71" s="3"/>
      <c r="H71" s="3" t="s">
        <v>17</v>
      </c>
      <c r="M71" s="5">
        <f t="shared" si="1"/>
        <v>1</v>
      </c>
      <c r="N71" s="5">
        <f>IF(B71="","",IF(M71="","",ROUND(M71*'FREQUÊNCIA INDÚSTRIA'!$B$2,1)))</f>
        <v>4</v>
      </c>
    </row>
    <row r="72" ht="15.75" customHeight="1">
      <c r="B72" s="2" t="s">
        <v>175</v>
      </c>
      <c r="C72" s="2" t="s">
        <v>207</v>
      </c>
      <c r="D72" s="2" t="s">
        <v>24</v>
      </c>
      <c r="E72" s="2" t="s">
        <v>208</v>
      </c>
      <c r="F72" s="3" t="s">
        <v>17</v>
      </c>
      <c r="M72" s="5">
        <f t="shared" si="1"/>
        <v>1</v>
      </c>
      <c r="N72" s="5">
        <f>IF(B72="","",IF(M72="","",ROUND(M72*'FREQUÊNCIA INDÚSTRIA'!$B$2,1)))</f>
        <v>4</v>
      </c>
    </row>
    <row r="73" ht="15.75" customHeight="1">
      <c r="B73" s="2" t="s">
        <v>209</v>
      </c>
      <c r="C73" s="2" t="s">
        <v>210</v>
      </c>
      <c r="D73" s="2" t="s">
        <v>24</v>
      </c>
      <c r="E73" s="2" t="s">
        <v>208</v>
      </c>
      <c r="F73" s="3" t="s">
        <v>17</v>
      </c>
      <c r="M73" s="5">
        <f t="shared" si="1"/>
        <v>1</v>
      </c>
      <c r="N73" s="5">
        <f>IF(B73="","",IF(M73="","",ROUND(M73*'FREQUÊNCIA INDÚSTRIA'!$B$2,1)))</f>
        <v>4</v>
      </c>
    </row>
    <row r="74" ht="15.75" customHeight="1">
      <c r="B74" s="2" t="s">
        <v>180</v>
      </c>
      <c r="C74" s="2" t="s">
        <v>207</v>
      </c>
      <c r="D74" s="2" t="s">
        <v>24</v>
      </c>
      <c r="E74" s="2" t="s">
        <v>208</v>
      </c>
      <c r="J74" s="3" t="s">
        <v>17</v>
      </c>
      <c r="M74" s="5">
        <f t="shared" si="1"/>
        <v>1</v>
      </c>
      <c r="N74" s="5">
        <f>IF(B74="","",IF(M74="","",ROUND(M74*'FREQUÊNCIA INDÚSTRIA'!$B$2,1)))</f>
        <v>4</v>
      </c>
    </row>
    <row r="75" ht="15.75" customHeight="1">
      <c r="B75" s="2" t="s">
        <v>180</v>
      </c>
      <c r="C75" s="2" t="s">
        <v>207</v>
      </c>
      <c r="D75" s="2" t="s">
        <v>24</v>
      </c>
      <c r="E75" s="2" t="s">
        <v>208</v>
      </c>
      <c r="H75" s="3" t="s">
        <v>17</v>
      </c>
      <c r="M75" s="5">
        <f t="shared" si="1"/>
        <v>1</v>
      </c>
      <c r="N75" s="5">
        <f>IF(B75="","",IF(M75="","",ROUND(M75*'FREQUÊNCIA INDÚSTRIA'!$B$2,1)))</f>
        <v>4</v>
      </c>
    </row>
    <row r="76" ht="15.75" customHeight="1">
      <c r="B76" s="2" t="s">
        <v>180</v>
      </c>
      <c r="C76" s="2" t="s">
        <v>207</v>
      </c>
      <c r="D76" s="2" t="s">
        <v>24</v>
      </c>
      <c r="E76" s="2" t="s">
        <v>208</v>
      </c>
      <c r="F76" s="3" t="s">
        <v>17</v>
      </c>
      <c r="M76" s="5">
        <f t="shared" si="1"/>
        <v>1</v>
      </c>
      <c r="N76" s="5">
        <f>IF(B76="","",IF(M76="","",ROUND(M76*'FREQUÊNCIA INDÚSTRIA'!$B$2,1)))</f>
        <v>4</v>
      </c>
    </row>
    <row r="77" ht="15.75" customHeight="1">
      <c r="B77" s="2" t="s">
        <v>42</v>
      </c>
      <c r="C77" s="2" t="s">
        <v>210</v>
      </c>
      <c r="D77" s="2" t="s">
        <v>24</v>
      </c>
      <c r="E77" s="2" t="s">
        <v>208</v>
      </c>
      <c r="J77" s="3" t="s">
        <v>17</v>
      </c>
      <c r="M77" s="5">
        <f t="shared" si="1"/>
        <v>1</v>
      </c>
      <c r="N77" s="5">
        <f>IF(B77="","",IF(M77="","",ROUND(M77*'FREQUÊNCIA INDÚSTRIA'!$B$2,1)))</f>
        <v>4</v>
      </c>
    </row>
    <row r="78" ht="15.75" customHeight="1">
      <c r="B78" s="2" t="s">
        <v>42</v>
      </c>
      <c r="C78" s="2" t="s">
        <v>210</v>
      </c>
      <c r="D78" s="2" t="s">
        <v>24</v>
      </c>
      <c r="E78" s="2" t="s">
        <v>208</v>
      </c>
      <c r="H78" s="3" t="s">
        <v>17</v>
      </c>
      <c r="M78" s="5">
        <f t="shared" si="1"/>
        <v>1</v>
      </c>
      <c r="N78" s="5">
        <f>IF(B78="","",IF(M78="","",ROUND(M78*'FREQUÊNCIA INDÚSTRIA'!$B$2,1)))</f>
        <v>4</v>
      </c>
    </row>
    <row r="79" ht="15.75" customHeight="1">
      <c r="B79" s="2" t="s">
        <v>42</v>
      </c>
      <c r="C79" s="2" t="s">
        <v>210</v>
      </c>
      <c r="D79" s="2" t="s">
        <v>24</v>
      </c>
      <c r="E79" s="2" t="s">
        <v>208</v>
      </c>
      <c r="F79" s="3" t="s">
        <v>17</v>
      </c>
      <c r="M79" s="5">
        <f t="shared" si="1"/>
        <v>1</v>
      </c>
      <c r="N79" s="5">
        <f>IF(B79="","",IF(M79="","",ROUND(M79*'FREQUÊNCIA INDÚSTRIA'!$B$2,1)))</f>
        <v>4</v>
      </c>
    </row>
    <row r="80" ht="15.75" customHeight="1">
      <c r="B80" s="2" t="s">
        <v>13</v>
      </c>
      <c r="C80" s="2" t="s">
        <v>211</v>
      </c>
      <c r="D80" s="2" t="s">
        <v>24</v>
      </c>
      <c r="E80" s="2" t="s">
        <v>208</v>
      </c>
      <c r="F80" s="3" t="s">
        <v>17</v>
      </c>
      <c r="M80" s="5">
        <f t="shared" si="1"/>
        <v>1</v>
      </c>
      <c r="N80" s="5">
        <f>IF(B80="","",IF(M80="","",ROUND(M80*'FREQUÊNCIA INDÚSTRIA'!$B$2,1)))</f>
        <v>4</v>
      </c>
    </row>
    <row r="81" ht="15.75" customHeight="1">
      <c r="B81" s="2" t="s">
        <v>13</v>
      </c>
      <c r="C81" s="2" t="s">
        <v>210</v>
      </c>
      <c r="D81" s="2" t="s">
        <v>24</v>
      </c>
      <c r="E81" s="2" t="s">
        <v>208</v>
      </c>
      <c r="F81" s="3" t="s">
        <v>17</v>
      </c>
      <c r="M81" s="5">
        <f t="shared" si="1"/>
        <v>1</v>
      </c>
      <c r="N81" s="5">
        <f>IF(B81="","",IF(M81="","",ROUND(M81*'FREQUÊNCIA INDÚSTRIA'!$B$2,1)))</f>
        <v>4</v>
      </c>
    </row>
    <row r="82" ht="15.75" customHeight="1">
      <c r="B82" s="2" t="s">
        <v>185</v>
      </c>
      <c r="C82" s="2" t="s">
        <v>212</v>
      </c>
      <c r="D82" s="2" t="s">
        <v>24</v>
      </c>
      <c r="E82" s="2" t="s">
        <v>208</v>
      </c>
      <c r="J82" s="3"/>
      <c r="K82" s="3" t="s">
        <v>17</v>
      </c>
      <c r="M82" s="5">
        <f t="shared" si="1"/>
        <v>1</v>
      </c>
      <c r="N82" s="5">
        <f>IF(B82="","",IF(M82="","",ROUND(M82*'FREQUÊNCIA INDÚSTRIA'!$B$2,1)))</f>
        <v>4</v>
      </c>
    </row>
    <row r="83" ht="15.75" customHeight="1">
      <c r="B83" s="2" t="s">
        <v>185</v>
      </c>
      <c r="C83" s="2" t="s">
        <v>212</v>
      </c>
      <c r="D83" s="2" t="s">
        <v>24</v>
      </c>
      <c r="E83" s="2" t="s">
        <v>208</v>
      </c>
      <c r="I83" s="3" t="s">
        <v>17</v>
      </c>
      <c r="M83" s="5">
        <f t="shared" si="1"/>
        <v>1</v>
      </c>
      <c r="N83" s="5">
        <f>IF(B83="","",IF(M83="","",ROUND(M83*'FREQUÊNCIA INDÚSTRIA'!$B$2,1)))</f>
        <v>4</v>
      </c>
    </row>
    <row r="84" ht="15.75" customHeight="1">
      <c r="B84" s="2" t="s">
        <v>185</v>
      </c>
      <c r="C84" s="2" t="s">
        <v>212</v>
      </c>
      <c r="D84" s="2" t="s">
        <v>24</v>
      </c>
      <c r="E84" s="2" t="s">
        <v>208</v>
      </c>
      <c r="G84" s="3" t="s">
        <v>17</v>
      </c>
      <c r="M84" s="5">
        <f t="shared" si="1"/>
        <v>1</v>
      </c>
      <c r="N84" s="5">
        <f>IF(B84="","",IF(M84="","",ROUND(M84*'FREQUÊNCIA INDÚSTRIA'!$B$2,1)))</f>
        <v>4</v>
      </c>
    </row>
    <row r="85" ht="15.75" customHeight="1">
      <c r="B85" s="2" t="s">
        <v>185</v>
      </c>
      <c r="C85" s="2" t="s">
        <v>213</v>
      </c>
      <c r="D85" s="2" t="s">
        <v>24</v>
      </c>
      <c r="E85" s="2" t="s">
        <v>208</v>
      </c>
      <c r="G85" s="3" t="s">
        <v>17</v>
      </c>
      <c r="M85" s="5">
        <f t="shared" si="1"/>
        <v>1</v>
      </c>
      <c r="N85" s="5">
        <f>IF(B85="","",IF(M85="","",ROUND(M85*'FREQUÊNCIA INDÚSTRIA'!$B$2,1)))</f>
        <v>4</v>
      </c>
    </row>
    <row r="86" ht="15.75" customHeight="1">
      <c r="B86" s="2" t="s">
        <v>35</v>
      </c>
      <c r="C86" s="2" t="s">
        <v>207</v>
      </c>
      <c r="D86" s="2" t="s">
        <v>24</v>
      </c>
      <c r="E86" s="2" t="s">
        <v>208</v>
      </c>
      <c r="J86" s="3" t="s">
        <v>17</v>
      </c>
      <c r="M86" s="5">
        <f t="shared" si="1"/>
        <v>1</v>
      </c>
      <c r="N86" s="5">
        <f>IF(B86="","",IF(M86="","",ROUND(M86*'FREQUÊNCIA INDÚSTRIA'!$B$2,1)))</f>
        <v>4</v>
      </c>
    </row>
    <row r="87" ht="15.75" customHeight="1">
      <c r="B87" s="2" t="s">
        <v>35</v>
      </c>
      <c r="C87" s="2" t="s">
        <v>211</v>
      </c>
      <c r="D87" s="2" t="s">
        <v>24</v>
      </c>
      <c r="E87" s="2" t="s">
        <v>208</v>
      </c>
      <c r="J87" s="3" t="s">
        <v>17</v>
      </c>
      <c r="M87" s="5">
        <f t="shared" si="1"/>
        <v>1</v>
      </c>
      <c r="N87" s="5">
        <f>IF(B87="","",IF(M87="","",ROUND(M87*'FREQUÊNCIA INDÚSTRIA'!$B$2,1)))</f>
        <v>4</v>
      </c>
    </row>
    <row r="88" ht="15.75" customHeight="1">
      <c r="B88" s="2" t="s">
        <v>35</v>
      </c>
      <c r="C88" s="2" t="s">
        <v>211</v>
      </c>
      <c r="D88" s="2" t="s">
        <v>24</v>
      </c>
      <c r="E88" s="2" t="s">
        <v>208</v>
      </c>
      <c r="H88" s="3" t="s">
        <v>17</v>
      </c>
      <c r="M88" s="5">
        <f t="shared" si="1"/>
        <v>1</v>
      </c>
      <c r="N88" s="5">
        <f>IF(B88="","",IF(M88="","",ROUND(M88*'FREQUÊNCIA INDÚSTRIA'!$B$2,1)))</f>
        <v>4</v>
      </c>
    </row>
    <row r="89" ht="15.75" customHeight="1">
      <c r="B89" s="2" t="s">
        <v>35</v>
      </c>
      <c r="C89" s="2" t="s">
        <v>207</v>
      </c>
      <c r="D89" s="2" t="s">
        <v>24</v>
      </c>
      <c r="E89" s="2" t="s">
        <v>208</v>
      </c>
      <c r="F89" s="3" t="s">
        <v>17</v>
      </c>
      <c r="M89" s="5">
        <f t="shared" si="1"/>
        <v>1</v>
      </c>
      <c r="N89" s="5">
        <f>IF(B89="","",IF(M89="","",ROUND(M89*'FREQUÊNCIA INDÚSTRIA'!$B$2,1)))</f>
        <v>4</v>
      </c>
    </row>
    <row r="90" ht="15.75" customHeight="1">
      <c r="B90" s="2" t="s">
        <v>35</v>
      </c>
      <c r="C90" s="2" t="s">
        <v>211</v>
      </c>
      <c r="D90" s="2" t="s">
        <v>24</v>
      </c>
      <c r="E90" s="2" t="s">
        <v>208</v>
      </c>
      <c r="F90" s="3" t="s">
        <v>17</v>
      </c>
      <c r="M90" s="5">
        <f t="shared" si="1"/>
        <v>1</v>
      </c>
      <c r="N90" s="5">
        <f>IF(B90="","",IF(M90="","",ROUND(M90*'FREQUÊNCIA INDÚSTRIA'!$B$2,1)))</f>
        <v>4</v>
      </c>
    </row>
    <row r="91" ht="15.75" customHeight="1">
      <c r="B91" s="2" t="s">
        <v>56</v>
      </c>
      <c r="C91" s="2" t="s">
        <v>214</v>
      </c>
      <c r="D91" s="2" t="s">
        <v>24</v>
      </c>
      <c r="E91" s="2" t="s">
        <v>208</v>
      </c>
      <c r="G91" s="3" t="s">
        <v>17</v>
      </c>
      <c r="M91" s="5">
        <f t="shared" si="1"/>
        <v>1</v>
      </c>
      <c r="N91" s="5">
        <f>IF(B91="","",IF(M91="","",ROUND(M91*'FREQUÊNCIA INDÚSTRIA'!$B$2,1)))</f>
        <v>4</v>
      </c>
    </row>
    <row r="92" ht="15.75" customHeight="1">
      <c r="B92" s="2" t="s">
        <v>28</v>
      </c>
      <c r="C92" s="2" t="s">
        <v>215</v>
      </c>
      <c r="D92" s="2" t="s">
        <v>177</v>
      </c>
      <c r="E92" s="2" t="s">
        <v>216</v>
      </c>
      <c r="H92" s="3" t="s">
        <v>17</v>
      </c>
      <c r="M92" s="5">
        <f t="shared" si="1"/>
        <v>1</v>
      </c>
      <c r="N92" s="5">
        <f>IF(B92="","",IF(M92="","",ROUND(M92*'FREQUÊNCIA INDÚSTRIA'!$B$2,1)))</f>
        <v>4</v>
      </c>
    </row>
    <row r="93" ht="15.75" customHeight="1">
      <c r="B93" s="2" t="s">
        <v>175</v>
      </c>
      <c r="C93" s="2" t="s">
        <v>217</v>
      </c>
      <c r="D93" s="2" t="s">
        <v>177</v>
      </c>
      <c r="E93" s="2" t="s">
        <v>216</v>
      </c>
      <c r="J93" s="3" t="s">
        <v>17</v>
      </c>
      <c r="M93" s="5">
        <f t="shared" si="1"/>
        <v>1</v>
      </c>
      <c r="N93" s="5">
        <f>IF(B93="","",IF(M93="","",ROUND(M93*'FREQUÊNCIA INDÚSTRIA'!$B$2,1)))</f>
        <v>4</v>
      </c>
    </row>
    <row r="94" ht="15.75" customHeight="1">
      <c r="B94" s="2" t="s">
        <v>175</v>
      </c>
      <c r="C94" s="2" t="s">
        <v>218</v>
      </c>
      <c r="D94" s="2" t="s">
        <v>177</v>
      </c>
      <c r="E94" s="2" t="s">
        <v>216</v>
      </c>
      <c r="H94" s="3" t="s">
        <v>17</v>
      </c>
      <c r="M94" s="5">
        <f t="shared" si="1"/>
        <v>1</v>
      </c>
      <c r="N94" s="5">
        <f>IF(B94="","",IF(M94="","",ROUND(M94*'FREQUÊNCIA INDÚSTRIA'!$B$2,1)))</f>
        <v>4</v>
      </c>
    </row>
    <row r="95" ht="15.75" customHeight="1">
      <c r="B95" s="2" t="s">
        <v>175</v>
      </c>
      <c r="C95" s="2" t="s">
        <v>217</v>
      </c>
      <c r="D95" s="2" t="s">
        <v>177</v>
      </c>
      <c r="E95" s="2" t="s">
        <v>216</v>
      </c>
      <c r="F95" s="3" t="s">
        <v>17</v>
      </c>
      <c r="M95" s="5">
        <f t="shared" si="1"/>
        <v>1</v>
      </c>
      <c r="N95" s="5">
        <f>IF(B95="","",IF(M95="","",ROUND(M95*'FREQUÊNCIA INDÚSTRIA'!$B$2,1)))</f>
        <v>4</v>
      </c>
    </row>
    <row r="96" ht="15.75" customHeight="1">
      <c r="B96" s="2" t="s">
        <v>219</v>
      </c>
      <c r="C96" s="2" t="s">
        <v>220</v>
      </c>
      <c r="D96" s="2" t="s">
        <v>177</v>
      </c>
      <c r="E96" s="2" t="s">
        <v>216</v>
      </c>
      <c r="G96" s="3" t="s">
        <v>17</v>
      </c>
      <c r="M96" s="5">
        <f t="shared" si="1"/>
        <v>1</v>
      </c>
      <c r="N96" s="5">
        <f>IF(B96="","",IF(M96="","",ROUND(M96*'FREQUÊNCIA INDÚSTRIA'!$B$2,1)))</f>
        <v>4</v>
      </c>
    </row>
    <row r="97" ht="15.75" customHeight="1">
      <c r="B97" s="2" t="s">
        <v>42</v>
      </c>
      <c r="C97" s="2" t="s">
        <v>215</v>
      </c>
      <c r="D97" s="2" t="s">
        <v>177</v>
      </c>
      <c r="E97" s="2" t="s">
        <v>216</v>
      </c>
      <c r="I97" s="3"/>
      <c r="J97" s="3" t="s">
        <v>17</v>
      </c>
      <c r="M97" s="5">
        <f t="shared" si="1"/>
        <v>1</v>
      </c>
      <c r="N97" s="5">
        <f>IF(B97="","",IF(M97="","",ROUND(M97*'FREQUÊNCIA INDÚSTRIA'!$B$2,1)))</f>
        <v>4</v>
      </c>
    </row>
    <row r="98" ht="15.75" customHeight="1">
      <c r="B98" s="2" t="s">
        <v>42</v>
      </c>
      <c r="C98" s="2" t="s">
        <v>221</v>
      </c>
      <c r="D98" s="2" t="s">
        <v>177</v>
      </c>
      <c r="E98" s="2" t="s">
        <v>216</v>
      </c>
      <c r="H98" s="3"/>
      <c r="I98" s="3" t="s">
        <v>17</v>
      </c>
      <c r="M98" s="5">
        <f t="shared" si="1"/>
        <v>1</v>
      </c>
      <c r="N98" s="5">
        <f>IF(B98="","",IF(M98="","",ROUND(M98*'FREQUÊNCIA INDÚSTRIA'!$B$2,1)))</f>
        <v>4</v>
      </c>
    </row>
    <row r="99" ht="15.75" customHeight="1">
      <c r="B99" s="2" t="s">
        <v>42</v>
      </c>
      <c r="C99" s="2" t="s">
        <v>215</v>
      </c>
      <c r="D99" s="2" t="s">
        <v>177</v>
      </c>
      <c r="E99" s="2" t="s">
        <v>216</v>
      </c>
      <c r="G99" s="3"/>
      <c r="H99" s="3" t="s">
        <v>17</v>
      </c>
      <c r="M99" s="5">
        <f t="shared" si="1"/>
        <v>1</v>
      </c>
      <c r="N99" s="5">
        <f>IF(B99="","",IF(M99="","",ROUND(M99*'FREQUÊNCIA INDÚSTRIA'!$B$2,1)))</f>
        <v>4</v>
      </c>
    </row>
    <row r="100" ht="15.75" customHeight="1">
      <c r="B100" s="2" t="s">
        <v>42</v>
      </c>
      <c r="C100" s="2" t="s">
        <v>221</v>
      </c>
      <c r="D100" s="8" t="s">
        <v>177</v>
      </c>
      <c r="E100" s="8" t="s">
        <v>216</v>
      </c>
      <c r="F100" s="3" t="s">
        <v>17</v>
      </c>
      <c r="K100" s="3"/>
      <c r="M100" s="5">
        <f t="shared" si="1"/>
        <v>1</v>
      </c>
      <c r="N100" s="5">
        <f>IF(B100="","",IF(M100="","",ROUND(M100*'FREQUÊNCIA INDÚSTRIA'!$B$2,1)))</f>
        <v>4</v>
      </c>
    </row>
    <row r="101" ht="15.75" customHeight="1">
      <c r="B101" s="2" t="s">
        <v>13</v>
      </c>
      <c r="C101" s="2" t="s">
        <v>222</v>
      </c>
      <c r="D101" s="2" t="s">
        <v>177</v>
      </c>
      <c r="E101" s="2" t="s">
        <v>216</v>
      </c>
      <c r="J101" s="3" t="s">
        <v>17</v>
      </c>
      <c r="M101" s="5">
        <f t="shared" si="1"/>
        <v>1</v>
      </c>
      <c r="N101" s="5">
        <f>IF(B101="","",IF(M101="","",ROUND(M101*'FREQUÊNCIA INDÚSTRIA'!$B$2,1)))</f>
        <v>4</v>
      </c>
    </row>
    <row r="102" ht="15.75" customHeight="1">
      <c r="B102" s="2" t="s">
        <v>13</v>
      </c>
      <c r="C102" s="2" t="s">
        <v>220</v>
      </c>
      <c r="D102" s="2" t="s">
        <v>177</v>
      </c>
      <c r="E102" s="2" t="s">
        <v>216</v>
      </c>
      <c r="J102" s="3" t="s">
        <v>17</v>
      </c>
      <c r="M102" s="5">
        <f t="shared" si="1"/>
        <v>1</v>
      </c>
      <c r="N102" s="5">
        <f>IF(B102="","",IF(M102="","",ROUND(M102*'FREQUÊNCIA INDÚSTRIA'!$B$2,1)))</f>
        <v>4</v>
      </c>
    </row>
    <row r="103" ht="15.75" customHeight="1">
      <c r="B103" s="2" t="s">
        <v>13</v>
      </c>
      <c r="C103" s="2" t="s">
        <v>215</v>
      </c>
      <c r="D103" s="2" t="s">
        <v>177</v>
      </c>
      <c r="E103" s="2" t="s">
        <v>216</v>
      </c>
      <c r="H103" s="3" t="s">
        <v>17</v>
      </c>
      <c r="M103" s="5">
        <f t="shared" si="1"/>
        <v>1</v>
      </c>
      <c r="N103" s="5">
        <f>IF(B103="","",IF(M103="","",ROUND(M103*'FREQUÊNCIA INDÚSTRIA'!$B$2,1)))</f>
        <v>4</v>
      </c>
    </row>
    <row r="104" ht="15.75" customHeight="1">
      <c r="B104" s="2" t="s">
        <v>13</v>
      </c>
      <c r="C104" s="2" t="s">
        <v>220</v>
      </c>
      <c r="D104" s="2" t="s">
        <v>177</v>
      </c>
      <c r="E104" s="2" t="s">
        <v>216</v>
      </c>
      <c r="G104" s="3" t="s">
        <v>17</v>
      </c>
      <c r="M104" s="5">
        <f t="shared" si="1"/>
        <v>1</v>
      </c>
      <c r="N104" s="5">
        <f>IF(B104="","",IF(M104="","",ROUND(M104*'FREQUÊNCIA INDÚSTRIA'!$B$2,1)))</f>
        <v>4</v>
      </c>
    </row>
    <row r="105" ht="15.75" customHeight="1">
      <c r="B105" s="2" t="s">
        <v>13</v>
      </c>
      <c r="C105" s="2" t="s">
        <v>218</v>
      </c>
      <c r="D105" s="2" t="s">
        <v>177</v>
      </c>
      <c r="E105" s="2" t="s">
        <v>216</v>
      </c>
      <c r="G105" s="3" t="s">
        <v>17</v>
      </c>
      <c r="M105" s="5">
        <f t="shared" si="1"/>
        <v>1</v>
      </c>
      <c r="N105" s="5">
        <f>IF(B105="","",IF(M105="","",ROUND(M105*'FREQUÊNCIA INDÚSTRIA'!$B$2,1)))</f>
        <v>4</v>
      </c>
    </row>
    <row r="106" ht="15.75" customHeight="1">
      <c r="B106" s="2" t="s">
        <v>13</v>
      </c>
      <c r="C106" s="2" t="s">
        <v>221</v>
      </c>
      <c r="D106" s="2" t="s">
        <v>177</v>
      </c>
      <c r="E106" s="2" t="s">
        <v>216</v>
      </c>
      <c r="F106" s="3" t="s">
        <v>17</v>
      </c>
      <c r="M106" s="5">
        <f t="shared" si="1"/>
        <v>1</v>
      </c>
      <c r="N106" s="5">
        <f>IF(B106="","",IF(M106="","",ROUND(M106*'FREQUÊNCIA INDÚSTRIA'!$B$2,1)))</f>
        <v>4</v>
      </c>
    </row>
    <row r="107" ht="15.75" customHeight="1">
      <c r="B107" s="2" t="s">
        <v>13</v>
      </c>
      <c r="C107" s="2" t="s">
        <v>223</v>
      </c>
      <c r="D107" s="2" t="s">
        <v>177</v>
      </c>
      <c r="E107" s="2" t="s">
        <v>216</v>
      </c>
      <c r="F107" s="3" t="s">
        <v>17</v>
      </c>
      <c r="M107" s="5">
        <f t="shared" si="1"/>
        <v>1</v>
      </c>
      <c r="N107" s="5">
        <f>IF(B107="","",IF(M107="","",ROUND(M107*'FREQUÊNCIA INDÚSTRIA'!$B$2,1)))</f>
        <v>4</v>
      </c>
    </row>
    <row r="108" ht="15.75" customHeight="1">
      <c r="B108" s="2" t="s">
        <v>185</v>
      </c>
      <c r="C108" s="2" t="s">
        <v>218</v>
      </c>
      <c r="D108" s="2" t="s">
        <v>177</v>
      </c>
      <c r="E108" s="2" t="s">
        <v>216</v>
      </c>
      <c r="K108" s="3" t="s">
        <v>17</v>
      </c>
      <c r="M108" s="5">
        <f t="shared" si="1"/>
        <v>1</v>
      </c>
      <c r="N108" s="5">
        <f>IF(B108="","",IF(M108="","",ROUND(M108*'FREQUÊNCIA INDÚSTRIA'!$B$2,1)))</f>
        <v>4</v>
      </c>
    </row>
    <row r="109" ht="15.75" customHeight="1">
      <c r="B109" s="2" t="s">
        <v>185</v>
      </c>
      <c r="C109" s="2" t="s">
        <v>218</v>
      </c>
      <c r="D109" s="2" t="s">
        <v>177</v>
      </c>
      <c r="E109" s="2" t="s">
        <v>216</v>
      </c>
      <c r="I109" s="3" t="s">
        <v>17</v>
      </c>
      <c r="M109" s="5">
        <f t="shared" si="1"/>
        <v>1</v>
      </c>
      <c r="N109" s="5">
        <f>IF(B109="","",IF(M109="","",ROUND(M109*'FREQUÊNCIA INDÚSTRIA'!$B$2,1)))</f>
        <v>4</v>
      </c>
    </row>
    <row r="110" ht="15.75" customHeight="1">
      <c r="B110" s="2" t="s">
        <v>185</v>
      </c>
      <c r="C110" s="2" t="s">
        <v>218</v>
      </c>
      <c r="D110" s="2" t="s">
        <v>177</v>
      </c>
      <c r="E110" s="2" t="s">
        <v>216</v>
      </c>
      <c r="G110" s="3" t="s">
        <v>17</v>
      </c>
      <c r="M110" s="5">
        <f t="shared" si="1"/>
        <v>1</v>
      </c>
      <c r="N110" s="5">
        <f>IF(B110="","",IF(M110="","",ROUND(M110*'FREQUÊNCIA INDÚSTRIA'!$B$2,1)))</f>
        <v>4</v>
      </c>
    </row>
    <row r="111" ht="15.75" customHeight="1">
      <c r="B111" s="2" t="s">
        <v>35</v>
      </c>
      <c r="C111" s="2" t="s">
        <v>220</v>
      </c>
      <c r="D111" s="2" t="s">
        <v>177</v>
      </c>
      <c r="E111" s="2" t="s">
        <v>216</v>
      </c>
      <c r="K111" s="3" t="s">
        <v>17</v>
      </c>
      <c r="M111" s="5">
        <f t="shared" si="1"/>
        <v>1</v>
      </c>
      <c r="N111" s="5">
        <f>IF(B111="","",IF(M111="","",ROUND(M111*'FREQUÊNCIA INDÚSTRIA'!$B$2,1)))</f>
        <v>4</v>
      </c>
    </row>
    <row r="112" ht="15.75" customHeight="1">
      <c r="B112" s="2" t="s">
        <v>35</v>
      </c>
      <c r="C112" s="2" t="s">
        <v>220</v>
      </c>
      <c r="D112" s="2" t="s">
        <v>177</v>
      </c>
      <c r="E112" s="2" t="s">
        <v>216</v>
      </c>
      <c r="J112" s="3" t="s">
        <v>17</v>
      </c>
      <c r="M112" s="5">
        <f t="shared" si="1"/>
        <v>1</v>
      </c>
      <c r="N112" s="5">
        <f>IF(B112="","",IF(M112="","",ROUND(M112*'FREQUÊNCIA INDÚSTRIA'!$B$2,1)))</f>
        <v>4</v>
      </c>
    </row>
    <row r="113" ht="15.75" customHeight="1">
      <c r="B113" s="2" t="s">
        <v>35</v>
      </c>
      <c r="C113" s="2" t="s">
        <v>220</v>
      </c>
      <c r="D113" s="2" t="s">
        <v>177</v>
      </c>
      <c r="E113" s="2" t="s">
        <v>216</v>
      </c>
      <c r="I113" s="3" t="s">
        <v>17</v>
      </c>
      <c r="M113" s="5">
        <f t="shared" si="1"/>
        <v>1</v>
      </c>
      <c r="N113" s="5">
        <f>IF(B113="","",IF(M113="","",ROUND(M113*'FREQUÊNCIA INDÚSTRIA'!$B$2,1)))</f>
        <v>4</v>
      </c>
    </row>
    <row r="114" ht="15.75" customHeight="1">
      <c r="B114" s="2" t="s">
        <v>35</v>
      </c>
      <c r="C114" s="2" t="s">
        <v>220</v>
      </c>
      <c r="D114" s="2" t="s">
        <v>177</v>
      </c>
      <c r="E114" s="2" t="s">
        <v>216</v>
      </c>
      <c r="G114" s="3" t="s">
        <v>17</v>
      </c>
      <c r="M114" s="5">
        <f t="shared" si="1"/>
        <v>1</v>
      </c>
      <c r="N114" s="5">
        <f>IF(B114="","",IF(M114="","",ROUND(M114*'FREQUÊNCIA INDÚSTRIA'!$B$2,1)))</f>
        <v>4</v>
      </c>
    </row>
    <row r="115" ht="15.75" customHeight="1">
      <c r="B115" s="2" t="s">
        <v>186</v>
      </c>
      <c r="C115" s="2" t="s">
        <v>221</v>
      </c>
      <c r="D115" s="2" t="s">
        <v>177</v>
      </c>
      <c r="E115" s="2" t="s">
        <v>216</v>
      </c>
      <c r="I115" s="3" t="s">
        <v>17</v>
      </c>
      <c r="M115" s="5">
        <f t="shared" si="1"/>
        <v>1</v>
      </c>
      <c r="N115" s="5">
        <f>IF(B115="","",IF(M115="","",ROUND(M115*'FREQUÊNCIA INDÚSTRIA'!$B$2,1)))</f>
        <v>4</v>
      </c>
    </row>
    <row r="116" ht="15.75" customHeight="1">
      <c r="B116" s="2" t="s">
        <v>186</v>
      </c>
      <c r="C116" s="2" t="s">
        <v>218</v>
      </c>
      <c r="D116" s="2" t="s">
        <v>177</v>
      </c>
      <c r="E116" s="2" t="s">
        <v>216</v>
      </c>
      <c r="I116" s="3" t="s">
        <v>17</v>
      </c>
      <c r="M116" s="5">
        <f t="shared" si="1"/>
        <v>1</v>
      </c>
      <c r="N116" s="5">
        <f>IF(B116="","",IF(M116="","",ROUND(M116*'FREQUÊNCIA INDÚSTRIA'!$B$2,1)))</f>
        <v>4</v>
      </c>
    </row>
    <row r="117" ht="15.75" customHeight="1">
      <c r="B117" s="2" t="s">
        <v>186</v>
      </c>
      <c r="C117" s="2" t="s">
        <v>215</v>
      </c>
      <c r="D117" s="2" t="s">
        <v>177</v>
      </c>
      <c r="E117" s="2" t="s">
        <v>216</v>
      </c>
      <c r="H117" s="3" t="s">
        <v>17</v>
      </c>
      <c r="M117" s="5">
        <f t="shared" si="1"/>
        <v>1</v>
      </c>
      <c r="N117" s="5">
        <f>IF(B117="","",IF(M117="","",ROUND(M117*'FREQUÊNCIA INDÚSTRIA'!$B$2,1)))</f>
        <v>4</v>
      </c>
    </row>
    <row r="118" ht="15.75" customHeight="1">
      <c r="B118" s="2" t="s">
        <v>186</v>
      </c>
      <c r="C118" s="2" t="s">
        <v>218</v>
      </c>
      <c r="D118" s="2" t="s">
        <v>177</v>
      </c>
      <c r="E118" s="2" t="s">
        <v>216</v>
      </c>
      <c r="G118" s="3" t="s">
        <v>17</v>
      </c>
      <c r="M118" s="5">
        <f t="shared" si="1"/>
        <v>1</v>
      </c>
      <c r="N118" s="5">
        <f>IF(B118="","",IF(M118="","",ROUND(M118*'FREQUÊNCIA INDÚSTRIA'!$B$2,1)))</f>
        <v>4</v>
      </c>
    </row>
    <row r="119" ht="15.75" customHeight="1">
      <c r="B119" s="2" t="s">
        <v>186</v>
      </c>
      <c r="C119" s="2" t="s">
        <v>221</v>
      </c>
      <c r="D119" s="2" t="s">
        <v>177</v>
      </c>
      <c r="E119" s="2" t="s">
        <v>216</v>
      </c>
      <c r="F119" s="3" t="s">
        <v>17</v>
      </c>
      <c r="M119" s="5">
        <f t="shared" si="1"/>
        <v>1</v>
      </c>
      <c r="N119" s="5">
        <f>IF(B119="","",IF(M119="","",ROUND(M119*'FREQUÊNCIA INDÚSTRIA'!$B$2,1)))</f>
        <v>4</v>
      </c>
    </row>
    <row r="120" ht="15.75" customHeight="1">
      <c r="B120" s="2" t="s">
        <v>186</v>
      </c>
      <c r="C120" s="2" t="s">
        <v>223</v>
      </c>
      <c r="D120" s="2" t="s">
        <v>177</v>
      </c>
      <c r="E120" s="2" t="s">
        <v>216</v>
      </c>
      <c r="F120" s="3" t="s">
        <v>17</v>
      </c>
      <c r="M120" s="5">
        <f t="shared" si="1"/>
        <v>1</v>
      </c>
      <c r="N120" s="5">
        <f>IF(B120="","",IF(M120="","",ROUND(M120*'FREQUÊNCIA INDÚSTRIA'!$B$2,1)))</f>
        <v>4</v>
      </c>
    </row>
    <row r="121" ht="15.75" customHeight="1">
      <c r="B121" s="2" t="s">
        <v>175</v>
      </c>
      <c r="C121" s="2" t="s">
        <v>224</v>
      </c>
      <c r="D121" s="2" t="s">
        <v>177</v>
      </c>
      <c r="E121" s="2" t="s">
        <v>225</v>
      </c>
      <c r="K121" s="3" t="s">
        <v>17</v>
      </c>
      <c r="M121" s="5">
        <f t="shared" si="1"/>
        <v>1</v>
      </c>
      <c r="N121" s="5">
        <f>IF(B121="","",IF(M121="","",ROUND(M121*'FREQUÊNCIA INDÚSTRIA'!$B$2,1)))</f>
        <v>4</v>
      </c>
    </row>
    <row r="122" ht="15.75" customHeight="1">
      <c r="B122" s="2" t="s">
        <v>175</v>
      </c>
      <c r="C122" s="2" t="s">
        <v>224</v>
      </c>
      <c r="D122" s="2" t="s">
        <v>177</v>
      </c>
      <c r="E122" s="2" t="s">
        <v>225</v>
      </c>
      <c r="G122" s="3" t="s">
        <v>17</v>
      </c>
      <c r="M122" s="5">
        <f t="shared" si="1"/>
        <v>1</v>
      </c>
      <c r="N122" s="5">
        <f>IF(B122="","",IF(M122="","",ROUND(M122*'FREQUÊNCIA INDÚSTRIA'!$B$2,1)))</f>
        <v>4</v>
      </c>
    </row>
    <row r="123" ht="15.75" customHeight="1">
      <c r="B123" s="2" t="s">
        <v>83</v>
      </c>
      <c r="C123" s="2" t="s">
        <v>226</v>
      </c>
      <c r="D123" s="2" t="s">
        <v>177</v>
      </c>
      <c r="E123" s="2" t="s">
        <v>225</v>
      </c>
      <c r="I123" s="3" t="s">
        <v>17</v>
      </c>
      <c r="M123" s="5">
        <f t="shared" si="1"/>
        <v>1</v>
      </c>
      <c r="N123" s="5">
        <f>IF(B123="","",IF(M123="","",ROUND(M123*'FREQUÊNCIA INDÚSTRIA'!$B$2,1)))</f>
        <v>4</v>
      </c>
    </row>
    <row r="124" ht="15.75" customHeight="1">
      <c r="B124" s="2" t="s">
        <v>187</v>
      </c>
      <c r="C124" s="2" t="s">
        <v>224</v>
      </c>
      <c r="D124" s="2" t="s">
        <v>177</v>
      </c>
      <c r="E124" s="2" t="s">
        <v>225</v>
      </c>
      <c r="J124" s="3" t="s">
        <v>17</v>
      </c>
      <c r="M124" s="5">
        <f t="shared" si="1"/>
        <v>1</v>
      </c>
      <c r="N124" s="5">
        <f>IF(B124="","",IF(M124="","",ROUND(M124*'FREQUÊNCIA INDÚSTRIA'!$B$2,1)))</f>
        <v>4</v>
      </c>
    </row>
    <row r="125" ht="15.75" customHeight="1">
      <c r="B125" s="2" t="s">
        <v>187</v>
      </c>
      <c r="C125" s="2" t="s">
        <v>224</v>
      </c>
      <c r="D125" s="2" t="s">
        <v>177</v>
      </c>
      <c r="E125" s="2" t="s">
        <v>225</v>
      </c>
      <c r="H125" s="3" t="s">
        <v>17</v>
      </c>
      <c r="M125" s="5">
        <f t="shared" si="1"/>
        <v>1</v>
      </c>
      <c r="N125" s="5">
        <f>IF(B125="","",IF(M125="","",ROUND(M125*'FREQUÊNCIA INDÚSTRIA'!$B$2,1)))</f>
        <v>4</v>
      </c>
    </row>
    <row r="126" ht="15.75" customHeight="1">
      <c r="B126" s="2" t="s">
        <v>187</v>
      </c>
      <c r="C126" s="2" t="s">
        <v>224</v>
      </c>
      <c r="D126" s="2" t="s">
        <v>177</v>
      </c>
      <c r="E126" s="2" t="s">
        <v>225</v>
      </c>
      <c r="F126" s="3" t="s">
        <v>17</v>
      </c>
      <c r="M126" s="5">
        <f t="shared" si="1"/>
        <v>1</v>
      </c>
      <c r="N126" s="5">
        <f>IF(B126="","",IF(M126="","",ROUND(M126*'FREQUÊNCIA INDÚSTRIA'!$B$2,1)))</f>
        <v>4</v>
      </c>
    </row>
    <row r="127" ht="15.75" customHeight="1">
      <c r="B127" s="2" t="s">
        <v>219</v>
      </c>
      <c r="C127" s="2" t="s">
        <v>227</v>
      </c>
      <c r="D127" s="2" t="s">
        <v>177</v>
      </c>
      <c r="E127" s="2" t="s">
        <v>225</v>
      </c>
      <c r="G127" s="3" t="s">
        <v>17</v>
      </c>
      <c r="M127" s="5">
        <f t="shared" si="1"/>
        <v>1</v>
      </c>
      <c r="N127" s="5">
        <f>IF(B127="","",IF(M127="","",ROUND(M127*'FREQUÊNCIA INDÚSTRIA'!$B$2,1)))</f>
        <v>4</v>
      </c>
    </row>
    <row r="128" ht="15.75" customHeight="1">
      <c r="B128" s="2" t="s">
        <v>13</v>
      </c>
      <c r="C128" s="2" t="s">
        <v>227</v>
      </c>
      <c r="D128" s="2" t="s">
        <v>177</v>
      </c>
      <c r="E128" s="2" t="s">
        <v>225</v>
      </c>
      <c r="F128" s="3" t="s">
        <v>17</v>
      </c>
      <c r="M128" s="5">
        <f t="shared" si="1"/>
        <v>1</v>
      </c>
      <c r="N128" s="5">
        <f>IF(B128="","",IF(M128="","",ROUND(M128*'FREQUÊNCIA INDÚSTRIA'!$B$2,1)))</f>
        <v>4</v>
      </c>
    </row>
    <row r="129" ht="15.75" customHeight="1">
      <c r="B129" s="2" t="s">
        <v>185</v>
      </c>
      <c r="C129" s="2" t="s">
        <v>224</v>
      </c>
      <c r="D129" s="2" t="s">
        <v>177</v>
      </c>
      <c r="E129" s="2" t="s">
        <v>225</v>
      </c>
      <c r="K129" s="3" t="s">
        <v>17</v>
      </c>
      <c r="M129" s="5">
        <f t="shared" si="1"/>
        <v>1</v>
      </c>
      <c r="N129" s="5">
        <f>IF(B129="","",IF(M129="","",ROUND(M129*'FREQUÊNCIA INDÚSTRIA'!$B$2,1)))</f>
        <v>4</v>
      </c>
    </row>
    <row r="130" ht="15.75" customHeight="1">
      <c r="B130" s="2" t="s">
        <v>35</v>
      </c>
      <c r="C130" s="2" t="s">
        <v>227</v>
      </c>
      <c r="D130" s="2" t="s">
        <v>177</v>
      </c>
      <c r="E130" s="2" t="s">
        <v>225</v>
      </c>
      <c r="J130" s="3" t="s">
        <v>17</v>
      </c>
      <c r="M130" s="5">
        <f t="shared" si="1"/>
        <v>1</v>
      </c>
      <c r="N130" s="5">
        <f>IF(B130="","",IF(M130="","",ROUND(M130*'FREQUÊNCIA INDÚSTRIA'!$B$2,1)))</f>
        <v>4</v>
      </c>
    </row>
    <row r="131" ht="15.75" customHeight="1">
      <c r="B131" s="2" t="s">
        <v>35</v>
      </c>
      <c r="C131" s="2" t="s">
        <v>227</v>
      </c>
      <c r="D131" s="2" t="s">
        <v>177</v>
      </c>
      <c r="E131" s="2" t="s">
        <v>225</v>
      </c>
      <c r="H131" s="3" t="s">
        <v>17</v>
      </c>
      <c r="M131" s="5">
        <f t="shared" si="1"/>
        <v>1</v>
      </c>
      <c r="N131" s="5">
        <f>IF(B131="","",IF(M131="","",ROUND(M131*'FREQUÊNCIA INDÚSTRIA'!$B$2,1)))</f>
        <v>4</v>
      </c>
    </row>
    <row r="132" ht="15.75" customHeight="1">
      <c r="B132" s="2" t="s">
        <v>35</v>
      </c>
      <c r="C132" s="2" t="s">
        <v>227</v>
      </c>
      <c r="D132" s="2" t="s">
        <v>177</v>
      </c>
      <c r="E132" s="2" t="s">
        <v>225</v>
      </c>
      <c r="F132" s="3" t="s">
        <v>17</v>
      </c>
      <c r="M132" s="5">
        <f t="shared" si="1"/>
        <v>1</v>
      </c>
      <c r="N132" s="5">
        <f>IF(B132="","",IF(M132="","",ROUND(M132*'FREQUÊNCIA INDÚSTRIA'!$B$2,1)))</f>
        <v>4</v>
      </c>
    </row>
    <row r="133" ht="15.75" customHeight="1">
      <c r="B133" s="2" t="s">
        <v>56</v>
      </c>
      <c r="C133" s="2" t="s">
        <v>226</v>
      </c>
      <c r="D133" s="2" t="s">
        <v>177</v>
      </c>
      <c r="E133" s="2" t="s">
        <v>225</v>
      </c>
      <c r="I133" s="3" t="s">
        <v>17</v>
      </c>
      <c r="M133" s="5">
        <f t="shared" si="1"/>
        <v>1</v>
      </c>
      <c r="N133" s="5">
        <f>IF(B133="","",IF(M133="","",ROUND(M133*'FREQUÊNCIA INDÚSTRIA'!$B$2,1)))</f>
        <v>4</v>
      </c>
    </row>
    <row r="134" ht="15.75" customHeight="1">
      <c r="B134" s="2" t="s">
        <v>186</v>
      </c>
      <c r="C134" s="2" t="s">
        <v>224</v>
      </c>
      <c r="D134" s="2" t="s">
        <v>177</v>
      </c>
      <c r="E134" s="2" t="s">
        <v>225</v>
      </c>
      <c r="K134" s="3" t="s">
        <v>17</v>
      </c>
      <c r="M134" s="5">
        <f t="shared" si="1"/>
        <v>1</v>
      </c>
      <c r="N134" s="5">
        <f>IF(B134="","",IF(M134="","",ROUND(M134*'FREQUÊNCIA INDÚSTRIA'!$B$2,1)))</f>
        <v>4</v>
      </c>
    </row>
    <row r="135" ht="15.75" customHeight="1">
      <c r="B135" s="2" t="s">
        <v>186</v>
      </c>
      <c r="C135" s="2" t="s">
        <v>227</v>
      </c>
      <c r="D135" s="2" t="s">
        <v>177</v>
      </c>
      <c r="E135" s="2" t="s">
        <v>225</v>
      </c>
      <c r="G135" s="3" t="s">
        <v>17</v>
      </c>
      <c r="M135" s="5">
        <f t="shared" si="1"/>
        <v>1</v>
      </c>
      <c r="N135" s="5">
        <f>IF(B135="","",IF(M135="","",ROUND(M135*'FREQUÊNCIA INDÚSTRIA'!$B$2,1)))</f>
        <v>4</v>
      </c>
    </row>
    <row r="136" ht="15.75" customHeight="1">
      <c r="B136" s="2" t="s">
        <v>186</v>
      </c>
      <c r="C136" s="2" t="s">
        <v>224</v>
      </c>
      <c r="D136" s="2" t="s">
        <v>177</v>
      </c>
      <c r="E136" s="2" t="s">
        <v>225</v>
      </c>
      <c r="G136" s="3" t="s">
        <v>17</v>
      </c>
      <c r="M136" s="5">
        <f t="shared" si="1"/>
        <v>1</v>
      </c>
      <c r="N136" s="5">
        <f>IF(B136="","",IF(M136="","",ROUND(M136*'FREQUÊNCIA INDÚSTRIA'!$B$2,1)))</f>
        <v>4</v>
      </c>
    </row>
    <row r="137" ht="15.75" customHeight="1">
      <c r="B137" s="2" t="s">
        <v>175</v>
      </c>
      <c r="C137" s="2" t="s">
        <v>228</v>
      </c>
      <c r="D137" s="2" t="s">
        <v>177</v>
      </c>
      <c r="E137" s="2" t="s">
        <v>229</v>
      </c>
      <c r="H137" s="3" t="s">
        <v>17</v>
      </c>
      <c r="M137" s="5">
        <f t="shared" si="1"/>
        <v>1</v>
      </c>
      <c r="N137" s="5">
        <f>IF(B137="","",IF(M137="","",ROUND(M137*'FREQUÊNCIA INDÚSTRIA'!$B$2,1)))</f>
        <v>4</v>
      </c>
    </row>
    <row r="138" ht="15.75" customHeight="1">
      <c r="B138" s="2" t="s">
        <v>175</v>
      </c>
      <c r="C138" s="2" t="s">
        <v>230</v>
      </c>
      <c r="D138" s="2" t="s">
        <v>177</v>
      </c>
      <c r="E138" s="2" t="s">
        <v>229</v>
      </c>
      <c r="F138" s="3" t="s">
        <v>17</v>
      </c>
      <c r="M138" s="5">
        <f t="shared" si="1"/>
        <v>1</v>
      </c>
      <c r="N138" s="5">
        <f>IF(B138="","",IF(M138="","",ROUND(M138*'FREQUÊNCIA INDÚSTRIA'!$B$2,1)))</f>
        <v>4</v>
      </c>
    </row>
    <row r="139" ht="15.75" customHeight="1">
      <c r="B139" s="2" t="s">
        <v>83</v>
      </c>
      <c r="C139" s="2" t="s">
        <v>231</v>
      </c>
      <c r="D139" s="2" t="s">
        <v>177</v>
      </c>
      <c r="E139" s="2" t="s">
        <v>229</v>
      </c>
      <c r="H139" s="3" t="s">
        <v>17</v>
      </c>
      <c r="M139" s="5">
        <f t="shared" si="1"/>
        <v>1</v>
      </c>
      <c r="N139" s="5">
        <f>IF(B139="","",IF(M139="","",ROUND(M139*'FREQUÊNCIA INDÚSTRIA'!$B$2,1)))</f>
        <v>4</v>
      </c>
    </row>
    <row r="140" ht="15.75" customHeight="1">
      <c r="B140" s="2" t="s">
        <v>180</v>
      </c>
      <c r="C140" s="2" t="s">
        <v>232</v>
      </c>
      <c r="D140" s="2" t="s">
        <v>177</v>
      </c>
      <c r="E140" s="2" t="s">
        <v>229</v>
      </c>
      <c r="H140" s="3" t="s">
        <v>17</v>
      </c>
      <c r="M140" s="5">
        <f t="shared" si="1"/>
        <v>1</v>
      </c>
      <c r="N140" s="5">
        <f>IF(B140="","",IF(M140="","",ROUND(M140*'FREQUÊNCIA INDÚSTRIA'!$B$2,1)))</f>
        <v>4</v>
      </c>
    </row>
    <row r="141" ht="15.75" customHeight="1">
      <c r="B141" s="2" t="s">
        <v>13</v>
      </c>
      <c r="C141" s="2" t="s">
        <v>233</v>
      </c>
      <c r="D141" s="2" t="s">
        <v>177</v>
      </c>
      <c r="E141" s="2" t="s">
        <v>229</v>
      </c>
      <c r="G141" s="3" t="s">
        <v>17</v>
      </c>
      <c r="M141" s="5">
        <f t="shared" si="1"/>
        <v>1</v>
      </c>
      <c r="N141" s="5">
        <f>IF(B141="","",IF(M141="","",ROUND(M141*'FREQUÊNCIA INDÚSTRIA'!$B$2,1)))</f>
        <v>4</v>
      </c>
    </row>
    <row r="142" ht="15.75" customHeight="1">
      <c r="B142" s="2" t="s">
        <v>13</v>
      </c>
      <c r="C142" s="2" t="s">
        <v>230</v>
      </c>
      <c r="D142" s="2" t="s">
        <v>177</v>
      </c>
      <c r="E142" s="2" t="s">
        <v>229</v>
      </c>
      <c r="F142" s="3" t="s">
        <v>17</v>
      </c>
      <c r="M142" s="5">
        <f t="shared" si="1"/>
        <v>1</v>
      </c>
      <c r="N142" s="5">
        <f>IF(B142="","",IF(M142="","",ROUND(M142*'FREQUÊNCIA INDÚSTRIA'!$B$2,1)))</f>
        <v>4</v>
      </c>
    </row>
    <row r="143" ht="15.75" customHeight="1">
      <c r="B143" s="2" t="s">
        <v>185</v>
      </c>
      <c r="C143" s="2" t="s">
        <v>228</v>
      </c>
      <c r="D143" s="2" t="s">
        <v>177</v>
      </c>
      <c r="E143" s="2" t="s">
        <v>229</v>
      </c>
      <c r="K143" s="3" t="s">
        <v>17</v>
      </c>
      <c r="M143" s="5">
        <f t="shared" si="1"/>
        <v>1</v>
      </c>
      <c r="N143" s="5">
        <f>IF(B143="","",IF(M143="","",ROUND(M143*'FREQUÊNCIA INDÚSTRIA'!$B$2,1)))</f>
        <v>4</v>
      </c>
    </row>
    <row r="144" ht="15.75" customHeight="1">
      <c r="B144" s="2" t="s">
        <v>185</v>
      </c>
      <c r="C144" s="2" t="s">
        <v>230</v>
      </c>
      <c r="D144" s="2" t="s">
        <v>177</v>
      </c>
      <c r="E144" s="2" t="s">
        <v>229</v>
      </c>
      <c r="J144" s="3" t="s">
        <v>17</v>
      </c>
      <c r="M144" s="5">
        <f t="shared" si="1"/>
        <v>1</v>
      </c>
      <c r="N144" s="5">
        <f>IF(B144="","",IF(M144="","",ROUND(M144*'FREQUÊNCIA INDÚSTRIA'!$B$2,1)))</f>
        <v>4</v>
      </c>
    </row>
    <row r="145" ht="15.75" customHeight="1">
      <c r="B145" s="2" t="s">
        <v>185</v>
      </c>
      <c r="C145" s="2" t="s">
        <v>228</v>
      </c>
      <c r="D145" s="2" t="s">
        <v>177</v>
      </c>
      <c r="E145" s="2" t="s">
        <v>229</v>
      </c>
      <c r="G145" s="3" t="s">
        <v>17</v>
      </c>
      <c r="M145" s="5">
        <f t="shared" si="1"/>
        <v>1</v>
      </c>
      <c r="N145" s="5">
        <f>IF(B145="","",IF(M145="","",ROUND(M145*'FREQUÊNCIA INDÚSTRIA'!$B$2,1)))</f>
        <v>4</v>
      </c>
    </row>
    <row r="146" ht="15.75" customHeight="1">
      <c r="B146" s="2" t="s">
        <v>185</v>
      </c>
      <c r="C146" s="2" t="s">
        <v>230</v>
      </c>
      <c r="D146" s="2" t="s">
        <v>177</v>
      </c>
      <c r="E146" s="2" t="s">
        <v>229</v>
      </c>
      <c r="F146" s="3" t="s">
        <v>17</v>
      </c>
      <c r="M146" s="5">
        <f t="shared" si="1"/>
        <v>1</v>
      </c>
      <c r="N146" s="5">
        <f>IF(B146="","",IF(M146="","",ROUND(M146*'FREQUÊNCIA INDÚSTRIA'!$B$2,1)))</f>
        <v>4</v>
      </c>
    </row>
    <row r="147" ht="15.75" customHeight="1">
      <c r="B147" s="2" t="s">
        <v>35</v>
      </c>
      <c r="C147" s="2" t="s">
        <v>232</v>
      </c>
      <c r="D147" s="2" t="s">
        <v>177</v>
      </c>
      <c r="E147" s="2" t="s">
        <v>229</v>
      </c>
      <c r="H147" s="3" t="s">
        <v>17</v>
      </c>
      <c r="M147" s="5">
        <f t="shared" si="1"/>
        <v>1</v>
      </c>
      <c r="N147" s="5">
        <f>IF(B147="","",IF(M147="","",ROUND(M147*'FREQUÊNCIA INDÚSTRIA'!$B$2,1)))</f>
        <v>4</v>
      </c>
    </row>
    <row r="148" ht="15.75" customHeight="1">
      <c r="B148" s="2" t="s">
        <v>56</v>
      </c>
      <c r="C148" s="2" t="s">
        <v>234</v>
      </c>
      <c r="D148" s="2" t="s">
        <v>177</v>
      </c>
      <c r="E148" s="2" t="s">
        <v>229</v>
      </c>
      <c r="I148" s="3" t="s">
        <v>17</v>
      </c>
      <c r="M148" s="5">
        <f t="shared" si="1"/>
        <v>1</v>
      </c>
      <c r="N148" s="5">
        <f>IF(B148="","",IF(M148="","",ROUND(M148*'FREQUÊNCIA INDÚSTRIA'!$B$2,1)))</f>
        <v>4</v>
      </c>
    </row>
    <row r="149" ht="15.75" customHeight="1">
      <c r="B149" s="2" t="s">
        <v>186</v>
      </c>
      <c r="C149" s="2" t="s">
        <v>230</v>
      </c>
      <c r="D149" s="2" t="s">
        <v>177</v>
      </c>
      <c r="E149" s="2" t="s">
        <v>229</v>
      </c>
      <c r="J149" s="3" t="s">
        <v>17</v>
      </c>
      <c r="M149" s="5">
        <f t="shared" si="1"/>
        <v>1</v>
      </c>
      <c r="N149" s="5">
        <f>IF(B149="","",IF(M149="","",ROUND(M149*'FREQUÊNCIA INDÚSTRIA'!$B$2,1)))</f>
        <v>4</v>
      </c>
    </row>
    <row r="150" ht="15.75" customHeight="1">
      <c r="B150" s="2" t="s">
        <v>186</v>
      </c>
      <c r="C150" s="2" t="s">
        <v>232</v>
      </c>
      <c r="D150" s="2" t="s">
        <v>177</v>
      </c>
      <c r="E150" s="2" t="s">
        <v>229</v>
      </c>
      <c r="H150" s="3" t="s">
        <v>17</v>
      </c>
      <c r="M150" s="5">
        <f t="shared" si="1"/>
        <v>1</v>
      </c>
      <c r="N150" s="5">
        <f>IF(B150="","",IF(M150="","",ROUND(M150*'FREQUÊNCIA INDÚSTRIA'!$B$2,1)))</f>
        <v>4</v>
      </c>
    </row>
    <row r="151" ht="15.75" customHeight="1">
      <c r="B151" s="2" t="s">
        <v>186</v>
      </c>
      <c r="C151" s="2" t="s">
        <v>228</v>
      </c>
      <c r="D151" s="2" t="s">
        <v>177</v>
      </c>
      <c r="E151" s="2" t="s">
        <v>229</v>
      </c>
      <c r="G151" s="3" t="s">
        <v>17</v>
      </c>
      <c r="M151" s="5">
        <f t="shared" si="1"/>
        <v>1</v>
      </c>
      <c r="N151" s="5">
        <f>IF(B151="","",IF(M151="","",ROUND(M151*'FREQUÊNCIA INDÚSTRIA'!$B$2,1)))</f>
        <v>4</v>
      </c>
    </row>
    <row r="152" ht="15.75" customHeight="1">
      <c r="B152" s="2" t="s">
        <v>186</v>
      </c>
      <c r="C152" s="2" t="s">
        <v>230</v>
      </c>
      <c r="D152" s="2" t="s">
        <v>177</v>
      </c>
      <c r="E152" s="2" t="s">
        <v>229</v>
      </c>
      <c r="F152" s="3" t="s">
        <v>17</v>
      </c>
      <c r="M152" s="5">
        <f t="shared" si="1"/>
        <v>1</v>
      </c>
      <c r="N152" s="5">
        <f>IF(B152="","",IF(M152="","",ROUND(M152*'FREQUÊNCIA INDÚSTRIA'!$B$2,1)))</f>
        <v>4</v>
      </c>
    </row>
    <row r="153" ht="15.75" customHeight="1">
      <c r="B153" s="2" t="s">
        <v>13</v>
      </c>
      <c r="C153" s="2" t="s">
        <v>235</v>
      </c>
      <c r="D153" s="2" t="s">
        <v>177</v>
      </c>
      <c r="E153" s="2" t="s">
        <v>236</v>
      </c>
      <c r="F153" s="3" t="s">
        <v>17</v>
      </c>
      <c r="M153" s="5">
        <f t="shared" si="1"/>
        <v>1</v>
      </c>
      <c r="N153" s="5">
        <f>IF(B153="","",IF(M153="","",ROUND(M153*'FREQUÊNCIA INDÚSTRIA'!$B$2,1)))</f>
        <v>4</v>
      </c>
    </row>
    <row r="154" ht="15.75" customHeight="1">
      <c r="B154" s="2" t="s">
        <v>35</v>
      </c>
      <c r="C154" s="2" t="s">
        <v>235</v>
      </c>
      <c r="D154" s="2" t="s">
        <v>177</v>
      </c>
      <c r="E154" s="2" t="s">
        <v>236</v>
      </c>
      <c r="F154" s="3" t="s">
        <v>17</v>
      </c>
      <c r="M154" s="5">
        <f t="shared" si="1"/>
        <v>1</v>
      </c>
      <c r="N154" s="5">
        <f>IF(B154="","",IF(M154="","",ROUND(M154*'FREQUÊNCIA INDÚSTRIA'!$B$2,1)))</f>
        <v>4</v>
      </c>
    </row>
    <row r="155" ht="15.75" customHeight="1">
      <c r="B155" s="2" t="s">
        <v>219</v>
      </c>
      <c r="C155" s="2" t="s">
        <v>235</v>
      </c>
      <c r="D155" s="2" t="s">
        <v>177</v>
      </c>
      <c r="E155" s="2" t="s">
        <v>236</v>
      </c>
      <c r="F155" s="3" t="s">
        <v>17</v>
      </c>
      <c r="M155" s="5">
        <f t="shared" si="1"/>
        <v>1</v>
      </c>
      <c r="N155" s="5">
        <f>IF(B155="","",IF(M155="","",ROUND(M155*'FREQUÊNCIA INDÚSTRIA'!$B$2,1)))</f>
        <v>4</v>
      </c>
    </row>
    <row r="156" ht="15.75" customHeight="1">
      <c r="B156" s="2" t="s">
        <v>13</v>
      </c>
      <c r="C156" s="2" t="s">
        <v>237</v>
      </c>
      <c r="D156" s="2" t="s">
        <v>177</v>
      </c>
      <c r="E156" s="2" t="s">
        <v>236</v>
      </c>
      <c r="F156" s="3" t="s">
        <v>17</v>
      </c>
      <c r="G156" s="3"/>
      <c r="M156" s="5">
        <f t="shared" si="1"/>
        <v>1</v>
      </c>
      <c r="N156" s="5">
        <f>IF(B156="","",IF(M156="","",ROUND(M156*'FREQUÊNCIA INDÚSTRIA'!$B$2,1)))</f>
        <v>4</v>
      </c>
    </row>
    <row r="157" ht="15.75" customHeight="1">
      <c r="B157" s="2" t="s">
        <v>35</v>
      </c>
      <c r="C157" s="2" t="s">
        <v>237</v>
      </c>
      <c r="D157" s="2" t="s">
        <v>177</v>
      </c>
      <c r="E157" s="2" t="s">
        <v>236</v>
      </c>
      <c r="F157" s="3" t="s">
        <v>17</v>
      </c>
      <c r="M157" s="5">
        <f t="shared" si="1"/>
        <v>1</v>
      </c>
      <c r="N157" s="5">
        <f>IF(B157="","",IF(M157="","",ROUND(M157*'FREQUÊNCIA INDÚSTRIA'!$B$2,1)))</f>
        <v>4</v>
      </c>
    </row>
    <row r="158" ht="15.75" customHeight="1">
      <c r="B158" s="2" t="s">
        <v>186</v>
      </c>
      <c r="C158" s="2" t="s">
        <v>237</v>
      </c>
      <c r="D158" s="2" t="s">
        <v>177</v>
      </c>
      <c r="E158" s="2" t="s">
        <v>236</v>
      </c>
      <c r="F158" s="3" t="s">
        <v>17</v>
      </c>
      <c r="M158" s="5">
        <f t="shared" si="1"/>
        <v>1</v>
      </c>
      <c r="N158" s="5">
        <f>IF(B158="","",IF(M158="","",ROUND(M158*'FREQUÊNCIA INDÚSTRIA'!$B$2,1)))</f>
        <v>4</v>
      </c>
    </row>
    <row r="159" ht="15.75" customHeight="1">
      <c r="B159" s="2" t="s">
        <v>180</v>
      </c>
      <c r="C159" s="2" t="s">
        <v>237</v>
      </c>
      <c r="D159" s="2" t="s">
        <v>177</v>
      </c>
      <c r="E159" s="2" t="s">
        <v>236</v>
      </c>
      <c r="F159" s="3" t="s">
        <v>17</v>
      </c>
      <c r="M159" s="5">
        <f t="shared" si="1"/>
        <v>1</v>
      </c>
      <c r="N159" s="5">
        <f>IF(B159="","",IF(M159="","",ROUND(M159*'FREQUÊNCIA INDÚSTRIA'!$B$2,1)))</f>
        <v>4</v>
      </c>
    </row>
    <row r="160" ht="15.75" customHeight="1">
      <c r="B160" s="2" t="s">
        <v>83</v>
      </c>
      <c r="C160" s="2" t="s">
        <v>237</v>
      </c>
      <c r="D160" s="2" t="s">
        <v>177</v>
      </c>
      <c r="E160" s="2" t="s">
        <v>236</v>
      </c>
      <c r="F160" s="3" t="s">
        <v>17</v>
      </c>
      <c r="M160" s="5">
        <f t="shared" si="1"/>
        <v>1</v>
      </c>
      <c r="N160" s="5">
        <f>IF(B160="","",IF(M160="","",ROUND(M160*'FREQUÊNCIA INDÚSTRIA'!$B$2,1)))</f>
        <v>4</v>
      </c>
    </row>
    <row r="161" ht="15.75" customHeight="1">
      <c r="B161" s="2" t="s">
        <v>35</v>
      </c>
      <c r="C161" s="2" t="s">
        <v>238</v>
      </c>
      <c r="D161" s="2" t="s">
        <v>177</v>
      </c>
      <c r="E161" s="2" t="s">
        <v>236</v>
      </c>
      <c r="G161" s="3" t="s">
        <v>17</v>
      </c>
      <c r="M161" s="5">
        <f t="shared" si="1"/>
        <v>1</v>
      </c>
      <c r="N161" s="5">
        <f>IF(B161="","",IF(M161="","",ROUND(M161*'FREQUÊNCIA INDÚSTRIA'!$B$2,1)))</f>
        <v>4</v>
      </c>
    </row>
    <row r="162" ht="15.75" customHeight="1">
      <c r="B162" s="2" t="s">
        <v>13</v>
      </c>
      <c r="C162" s="2" t="s">
        <v>238</v>
      </c>
      <c r="D162" s="2" t="s">
        <v>177</v>
      </c>
      <c r="E162" s="2" t="s">
        <v>236</v>
      </c>
      <c r="G162" s="3" t="s">
        <v>17</v>
      </c>
      <c r="M162" s="5">
        <f t="shared" si="1"/>
        <v>1</v>
      </c>
      <c r="N162" s="5">
        <f>IF(B162="","",IF(M162="","",ROUND(M162*'FREQUÊNCIA INDÚSTRIA'!$B$2,1)))</f>
        <v>4</v>
      </c>
    </row>
    <row r="163" ht="15.75" customHeight="1">
      <c r="B163" s="2" t="s">
        <v>219</v>
      </c>
      <c r="C163" s="2" t="s">
        <v>238</v>
      </c>
      <c r="D163" s="2" t="s">
        <v>177</v>
      </c>
      <c r="E163" s="2" t="s">
        <v>236</v>
      </c>
      <c r="G163" s="3" t="s">
        <v>17</v>
      </c>
      <c r="M163" s="5">
        <f t="shared" si="1"/>
        <v>1</v>
      </c>
      <c r="N163" s="5">
        <f>IF(B163="","",IF(M163="","",ROUND(M163*'FREQUÊNCIA INDÚSTRIA'!$B$2,1)))</f>
        <v>4</v>
      </c>
    </row>
    <row r="164" ht="15.75" customHeight="1">
      <c r="B164" s="2" t="s">
        <v>13</v>
      </c>
      <c r="C164" s="2" t="s">
        <v>215</v>
      </c>
      <c r="D164" s="2" t="s">
        <v>177</v>
      </c>
      <c r="E164" s="2" t="s">
        <v>236</v>
      </c>
      <c r="G164" s="3" t="s">
        <v>17</v>
      </c>
      <c r="M164" s="5">
        <f t="shared" si="1"/>
        <v>1</v>
      </c>
      <c r="N164" s="5">
        <f>IF(B164="","",IF(M164="","",ROUND(M164*'FREQUÊNCIA INDÚSTRIA'!$B$2,1)))</f>
        <v>4</v>
      </c>
    </row>
    <row r="165" ht="15.75" customHeight="1">
      <c r="B165" s="2" t="s">
        <v>28</v>
      </c>
      <c r="C165" s="2" t="s">
        <v>215</v>
      </c>
      <c r="D165" s="2" t="s">
        <v>177</v>
      </c>
      <c r="E165" s="2" t="s">
        <v>236</v>
      </c>
      <c r="G165" s="3" t="s">
        <v>17</v>
      </c>
      <c r="M165" s="5">
        <f t="shared" si="1"/>
        <v>1</v>
      </c>
      <c r="N165" s="5">
        <f>IF(B165="","",IF(M165="","",ROUND(M165*'FREQUÊNCIA INDÚSTRIA'!$B$2,1)))</f>
        <v>4</v>
      </c>
    </row>
    <row r="166" ht="15.75" customHeight="1">
      <c r="B166" s="2" t="s">
        <v>42</v>
      </c>
      <c r="C166" s="2" t="s">
        <v>215</v>
      </c>
      <c r="D166" s="2" t="s">
        <v>177</v>
      </c>
      <c r="E166" s="2" t="s">
        <v>236</v>
      </c>
      <c r="G166" s="3" t="s">
        <v>17</v>
      </c>
      <c r="M166" s="5">
        <f t="shared" si="1"/>
        <v>1</v>
      </c>
      <c r="N166" s="5">
        <f>IF(B166="","",IF(M166="","",ROUND(M166*'FREQUÊNCIA INDÚSTRIA'!$B$2,1)))</f>
        <v>4</v>
      </c>
    </row>
    <row r="167" ht="15.75" customHeight="1">
      <c r="B167" s="2" t="s">
        <v>175</v>
      </c>
      <c r="C167" s="2" t="s">
        <v>239</v>
      </c>
      <c r="D167" s="2" t="s">
        <v>177</v>
      </c>
      <c r="E167" s="2" t="s">
        <v>236</v>
      </c>
      <c r="H167" s="3" t="s">
        <v>17</v>
      </c>
      <c r="M167" s="5">
        <f t="shared" si="1"/>
        <v>1</v>
      </c>
      <c r="N167" s="5">
        <f>IF(B167="","",IF(M167="","",ROUND(M167*'FREQUÊNCIA INDÚSTRIA'!$B$2,1)))</f>
        <v>4</v>
      </c>
    </row>
    <row r="168" ht="15.75" customHeight="1">
      <c r="B168" s="2" t="s">
        <v>186</v>
      </c>
      <c r="C168" s="2" t="s">
        <v>239</v>
      </c>
      <c r="D168" s="2" t="s">
        <v>177</v>
      </c>
      <c r="E168" s="2" t="s">
        <v>236</v>
      </c>
      <c r="H168" s="3" t="s">
        <v>17</v>
      </c>
      <c r="M168" s="5">
        <f t="shared" si="1"/>
        <v>1</v>
      </c>
      <c r="N168" s="5">
        <f>IF(B168="","",IF(M168="","",ROUND(M168*'FREQUÊNCIA INDÚSTRIA'!$B$2,1)))</f>
        <v>4</v>
      </c>
    </row>
    <row r="169" ht="15.75" customHeight="1">
      <c r="B169" s="2" t="s">
        <v>185</v>
      </c>
      <c r="C169" s="2" t="s">
        <v>239</v>
      </c>
      <c r="D169" s="2" t="s">
        <v>177</v>
      </c>
      <c r="E169" s="2" t="s">
        <v>236</v>
      </c>
      <c r="H169" s="3" t="s">
        <v>17</v>
      </c>
      <c r="M169" s="5">
        <f t="shared" si="1"/>
        <v>1</v>
      </c>
      <c r="N169" s="5">
        <f>IF(B169="","",IF(M169="","",ROUND(M169*'FREQUÊNCIA INDÚSTRIA'!$B$2,1)))</f>
        <v>4</v>
      </c>
    </row>
    <row r="170" ht="15.75" customHeight="1">
      <c r="B170" s="2" t="s">
        <v>28</v>
      </c>
      <c r="C170" s="2" t="s">
        <v>215</v>
      </c>
      <c r="D170" s="2" t="s">
        <v>177</v>
      </c>
      <c r="E170" s="2" t="s">
        <v>236</v>
      </c>
      <c r="I170" s="3" t="s">
        <v>17</v>
      </c>
      <c r="M170" s="5">
        <f t="shared" si="1"/>
        <v>1</v>
      </c>
      <c r="N170" s="5">
        <f>IF(B170="","",IF(M170="","",ROUND(M170*'FREQUÊNCIA INDÚSTRIA'!$B$2,1)))</f>
        <v>4</v>
      </c>
    </row>
    <row r="171" ht="15.75" customHeight="1">
      <c r="B171" s="2" t="s">
        <v>42</v>
      </c>
      <c r="C171" s="2" t="s">
        <v>215</v>
      </c>
      <c r="D171" s="2" t="s">
        <v>177</v>
      </c>
      <c r="E171" s="2" t="s">
        <v>236</v>
      </c>
      <c r="I171" s="3" t="s">
        <v>17</v>
      </c>
      <c r="M171" s="5">
        <f t="shared" si="1"/>
        <v>1</v>
      </c>
      <c r="N171" s="5">
        <f>IF(B171="","",IF(M171="","",ROUND(M171*'FREQUÊNCIA INDÚSTRIA'!$B$2,1)))</f>
        <v>4</v>
      </c>
    </row>
    <row r="172" ht="15.75" customHeight="1">
      <c r="B172" s="2" t="s">
        <v>35</v>
      </c>
      <c r="C172" s="2" t="s">
        <v>238</v>
      </c>
      <c r="D172" s="2" t="s">
        <v>177</v>
      </c>
      <c r="E172" s="2" t="s">
        <v>236</v>
      </c>
      <c r="I172" s="3" t="s">
        <v>17</v>
      </c>
      <c r="M172" s="5">
        <f t="shared" si="1"/>
        <v>1</v>
      </c>
      <c r="N172" s="5">
        <f>IF(B172="","",IF(M172="","",ROUND(M172*'FREQUÊNCIA INDÚSTRIA'!$B$2,1)))</f>
        <v>4</v>
      </c>
    </row>
    <row r="173" ht="15.75" customHeight="1">
      <c r="B173" s="2" t="s">
        <v>186</v>
      </c>
      <c r="C173" s="2" t="s">
        <v>238</v>
      </c>
      <c r="D173" s="2" t="s">
        <v>177</v>
      </c>
      <c r="E173" s="2" t="s">
        <v>236</v>
      </c>
      <c r="I173" s="3" t="s">
        <v>17</v>
      </c>
      <c r="M173" s="5">
        <f t="shared" si="1"/>
        <v>1</v>
      </c>
      <c r="N173" s="5">
        <f>IF(B173="","",IF(M173="","",ROUND(M173*'FREQUÊNCIA INDÚSTRIA'!$B$2,1)))</f>
        <v>4</v>
      </c>
    </row>
    <row r="174" ht="15.75" customHeight="1">
      <c r="B174" s="2" t="s">
        <v>35</v>
      </c>
      <c r="C174" s="2" t="s">
        <v>235</v>
      </c>
      <c r="D174" s="2" t="s">
        <v>177</v>
      </c>
      <c r="E174" s="2" t="s">
        <v>236</v>
      </c>
      <c r="J174" s="3" t="s">
        <v>17</v>
      </c>
      <c r="M174" s="5">
        <f t="shared" si="1"/>
        <v>1</v>
      </c>
      <c r="N174" s="5">
        <f>IF(B174="","",IF(M174="","",ROUND(M174*'FREQUÊNCIA INDÚSTRIA'!$B$2,1)))</f>
        <v>4</v>
      </c>
    </row>
    <row r="175" ht="15.75" customHeight="1">
      <c r="B175" s="2" t="s">
        <v>180</v>
      </c>
      <c r="C175" s="2" t="s">
        <v>237</v>
      </c>
      <c r="D175" s="2" t="s">
        <v>177</v>
      </c>
      <c r="E175" s="2" t="s">
        <v>236</v>
      </c>
      <c r="J175" s="3" t="s">
        <v>17</v>
      </c>
      <c r="M175" s="5">
        <f t="shared" si="1"/>
        <v>1</v>
      </c>
      <c r="N175" s="5">
        <f>IF(B175="","",IF(M175="","",ROUND(M175*'FREQUÊNCIA INDÚSTRIA'!$B$2,1)))</f>
        <v>4</v>
      </c>
    </row>
    <row r="176" ht="15.75" customHeight="1">
      <c r="B176" s="2" t="s">
        <v>35</v>
      </c>
      <c r="C176" s="2" t="s">
        <v>237</v>
      </c>
      <c r="D176" s="2" t="s">
        <v>177</v>
      </c>
      <c r="E176" s="2" t="s">
        <v>236</v>
      </c>
      <c r="J176" s="3" t="s">
        <v>17</v>
      </c>
      <c r="M176" s="5">
        <f t="shared" si="1"/>
        <v>1</v>
      </c>
      <c r="N176" s="5">
        <f>IF(B176="","",IF(M176="","",ROUND(M176*'FREQUÊNCIA INDÚSTRIA'!$B$2,1)))</f>
        <v>4</v>
      </c>
    </row>
    <row r="177" ht="15.75" customHeight="1">
      <c r="B177" s="2" t="s">
        <v>186</v>
      </c>
      <c r="C177" s="2" t="s">
        <v>237</v>
      </c>
      <c r="D177" s="2" t="s">
        <v>177</v>
      </c>
      <c r="E177" s="2" t="s">
        <v>236</v>
      </c>
      <c r="J177" s="3" t="s">
        <v>17</v>
      </c>
      <c r="M177" s="5">
        <f t="shared" si="1"/>
        <v>1</v>
      </c>
      <c r="N177" s="5">
        <f>IF(B177="","",IF(M177="","",ROUND(M177*'FREQUÊNCIA INDÚSTRIA'!$B$2,1)))</f>
        <v>4</v>
      </c>
    </row>
    <row r="178" ht="15.75" customHeight="1">
      <c r="B178" s="2" t="s">
        <v>35</v>
      </c>
      <c r="C178" s="2" t="s">
        <v>238</v>
      </c>
      <c r="D178" s="2" t="s">
        <v>177</v>
      </c>
      <c r="E178" s="2" t="s">
        <v>236</v>
      </c>
      <c r="K178" s="3" t="s">
        <v>17</v>
      </c>
      <c r="M178" s="5">
        <f t="shared" si="1"/>
        <v>1</v>
      </c>
      <c r="N178" s="5">
        <f>IF(B178="","",IF(M178="","",ROUND(M178*'FREQUÊNCIA INDÚSTRIA'!$B$2,1)))</f>
        <v>4</v>
      </c>
    </row>
    <row r="179" ht="15.75" customHeight="1">
      <c r="B179" s="2" t="s">
        <v>186</v>
      </c>
      <c r="C179" s="2" t="s">
        <v>239</v>
      </c>
      <c r="D179" s="2" t="s">
        <v>177</v>
      </c>
      <c r="E179" s="2" t="s">
        <v>236</v>
      </c>
      <c r="K179" s="3" t="s">
        <v>17</v>
      </c>
      <c r="M179" s="5">
        <f t="shared" si="1"/>
        <v>1</v>
      </c>
      <c r="N179" s="5">
        <f>IF(B179="","",IF(M179="","",ROUND(M179*'FREQUÊNCIA INDÚSTRIA'!$B$2,1)))</f>
        <v>4</v>
      </c>
    </row>
    <row r="180" ht="15.75" customHeight="1">
      <c r="B180" s="2" t="s">
        <v>35</v>
      </c>
      <c r="C180" s="2" t="s">
        <v>240</v>
      </c>
      <c r="D180" s="2" t="s">
        <v>177</v>
      </c>
      <c r="E180" s="2" t="s">
        <v>241</v>
      </c>
      <c r="F180" s="3" t="s">
        <v>17</v>
      </c>
      <c r="M180" s="5">
        <f t="shared" si="1"/>
        <v>1</v>
      </c>
      <c r="N180" s="5">
        <f>IF(B180="","",IF(M180="","",ROUND(M180*'FREQUÊNCIA INDÚSTRIA'!$B$2,1)))</f>
        <v>4</v>
      </c>
    </row>
    <row r="181" ht="15.75" customHeight="1">
      <c r="B181" s="2" t="s">
        <v>13</v>
      </c>
      <c r="C181" s="2" t="s">
        <v>240</v>
      </c>
      <c r="D181" s="2" t="s">
        <v>177</v>
      </c>
      <c r="E181" s="2" t="s">
        <v>241</v>
      </c>
      <c r="F181" s="3" t="s">
        <v>17</v>
      </c>
      <c r="M181" s="5">
        <f t="shared" si="1"/>
        <v>1</v>
      </c>
      <c r="N181" s="5">
        <f>IF(B181="","",IF(M181="","",ROUND(M181*'FREQUÊNCIA INDÚSTRIA'!$B$2,1)))</f>
        <v>4</v>
      </c>
    </row>
    <row r="182" ht="15.75" customHeight="1">
      <c r="B182" s="2" t="s">
        <v>219</v>
      </c>
      <c r="C182" s="2" t="s">
        <v>240</v>
      </c>
      <c r="D182" s="2" t="s">
        <v>177</v>
      </c>
      <c r="E182" s="2" t="s">
        <v>241</v>
      </c>
      <c r="F182" s="3" t="s">
        <v>17</v>
      </c>
      <c r="M182" s="5">
        <f t="shared" si="1"/>
        <v>1</v>
      </c>
      <c r="N182" s="5">
        <f>IF(B182="","",IF(M182="","",ROUND(M182*'FREQUÊNCIA INDÚSTRIA'!$B$2,1)))</f>
        <v>4</v>
      </c>
    </row>
    <row r="183" ht="15.75" customHeight="1">
      <c r="B183" s="2" t="s">
        <v>35</v>
      </c>
      <c r="C183" s="2" t="s">
        <v>242</v>
      </c>
      <c r="D183" s="2" t="s">
        <v>177</v>
      </c>
      <c r="E183" s="2" t="s">
        <v>241</v>
      </c>
      <c r="F183" s="3" t="s">
        <v>17</v>
      </c>
      <c r="M183" s="5">
        <f t="shared" si="1"/>
        <v>1</v>
      </c>
      <c r="N183" s="5">
        <f>IF(B183="","",IF(M183="","",ROUND(M183*'FREQUÊNCIA INDÚSTRIA'!$B$2,1)))</f>
        <v>4</v>
      </c>
    </row>
    <row r="184" ht="15.75" customHeight="1">
      <c r="B184" s="2" t="s">
        <v>186</v>
      </c>
      <c r="C184" s="2" t="s">
        <v>242</v>
      </c>
      <c r="D184" s="2" t="s">
        <v>177</v>
      </c>
      <c r="E184" s="2" t="s">
        <v>241</v>
      </c>
      <c r="F184" s="3" t="s">
        <v>17</v>
      </c>
      <c r="M184" s="5">
        <f t="shared" si="1"/>
        <v>1</v>
      </c>
      <c r="N184" s="5">
        <f>IF(B184="","",IF(M184="","",ROUND(M184*'FREQUÊNCIA INDÚSTRIA'!$B$2,1)))</f>
        <v>4</v>
      </c>
    </row>
    <row r="185" ht="15.75" customHeight="1">
      <c r="B185" s="2" t="s">
        <v>13</v>
      </c>
      <c r="C185" s="2" t="s">
        <v>242</v>
      </c>
      <c r="D185" s="2" t="s">
        <v>177</v>
      </c>
      <c r="E185" s="2" t="s">
        <v>241</v>
      </c>
      <c r="F185" s="3" t="s">
        <v>17</v>
      </c>
      <c r="M185" s="5">
        <f t="shared" si="1"/>
        <v>1</v>
      </c>
      <c r="N185" s="5">
        <f>IF(B185="","",IF(M185="","",ROUND(M185*'FREQUÊNCIA INDÚSTRIA'!$B$2,1)))</f>
        <v>4</v>
      </c>
    </row>
    <row r="186" ht="15.75" customHeight="1">
      <c r="B186" s="2" t="s">
        <v>180</v>
      </c>
      <c r="C186" s="2" t="s">
        <v>242</v>
      </c>
      <c r="D186" s="2" t="s">
        <v>177</v>
      </c>
      <c r="E186" s="2" t="s">
        <v>241</v>
      </c>
      <c r="F186" s="3" t="s">
        <v>17</v>
      </c>
      <c r="M186" s="5">
        <f t="shared" si="1"/>
        <v>1</v>
      </c>
      <c r="N186" s="5">
        <f>IF(B186="","",IF(M186="","",ROUND(M186*'FREQUÊNCIA INDÚSTRIA'!$B$2,1)))</f>
        <v>4</v>
      </c>
    </row>
    <row r="187" ht="15.75" customHeight="1">
      <c r="B187" s="2" t="s">
        <v>42</v>
      </c>
      <c r="C187" s="2" t="s">
        <v>243</v>
      </c>
      <c r="D187" s="2" t="s">
        <v>177</v>
      </c>
      <c r="E187" s="2" t="s">
        <v>241</v>
      </c>
      <c r="G187" s="3" t="s">
        <v>17</v>
      </c>
      <c r="M187" s="5">
        <f t="shared" si="1"/>
        <v>1</v>
      </c>
      <c r="N187" s="5">
        <f>IF(B187="","",IF(M187="","",ROUND(M187*'FREQUÊNCIA INDÚSTRIA'!$B$2,1)))</f>
        <v>4</v>
      </c>
    </row>
    <row r="188" ht="15.75" customHeight="1">
      <c r="B188" s="2" t="s">
        <v>28</v>
      </c>
      <c r="C188" s="2" t="s">
        <v>243</v>
      </c>
      <c r="D188" s="2" t="s">
        <v>177</v>
      </c>
      <c r="E188" s="2" t="s">
        <v>241</v>
      </c>
      <c r="G188" s="3" t="s">
        <v>17</v>
      </c>
      <c r="M188" s="5">
        <f t="shared" si="1"/>
        <v>1</v>
      </c>
      <c r="N188" s="5">
        <f>IF(B188="","",IF(M188="","",ROUND(M188*'FREQUÊNCIA INDÚSTRIA'!$B$2,1)))</f>
        <v>4</v>
      </c>
    </row>
    <row r="189" ht="15.75" customHeight="1">
      <c r="B189" s="2" t="s">
        <v>13</v>
      </c>
      <c r="C189" s="2" t="s">
        <v>243</v>
      </c>
      <c r="D189" s="2" t="s">
        <v>177</v>
      </c>
      <c r="E189" s="2" t="s">
        <v>241</v>
      </c>
      <c r="G189" s="3" t="s">
        <v>17</v>
      </c>
      <c r="M189" s="5">
        <f t="shared" si="1"/>
        <v>1</v>
      </c>
      <c r="N189" s="5">
        <f>IF(B189="","",IF(M189="","",ROUND(M189*'FREQUÊNCIA INDÚSTRIA'!$B$2,1)))</f>
        <v>4</v>
      </c>
    </row>
    <row r="190" ht="15.75" customHeight="1">
      <c r="B190" s="2" t="s">
        <v>175</v>
      </c>
      <c r="C190" s="2" t="s">
        <v>244</v>
      </c>
      <c r="D190" s="2" t="s">
        <v>177</v>
      </c>
      <c r="E190" s="2" t="s">
        <v>241</v>
      </c>
      <c r="G190" s="3" t="s">
        <v>17</v>
      </c>
      <c r="M190" s="5">
        <f t="shared" si="1"/>
        <v>1</v>
      </c>
      <c r="N190" s="5">
        <f>IF(B190="","",IF(M190="","",ROUND(M190*'FREQUÊNCIA INDÚSTRIA'!$B$2,1)))</f>
        <v>4</v>
      </c>
    </row>
    <row r="191" ht="15.75" customHeight="1">
      <c r="B191" s="2" t="s">
        <v>185</v>
      </c>
      <c r="C191" s="2" t="s">
        <v>244</v>
      </c>
      <c r="D191" s="2" t="s">
        <v>177</v>
      </c>
      <c r="E191" s="2" t="s">
        <v>241</v>
      </c>
      <c r="G191" s="3" t="s">
        <v>17</v>
      </c>
      <c r="M191" s="5">
        <f t="shared" si="1"/>
        <v>1</v>
      </c>
      <c r="N191" s="5">
        <f>IF(B191="","",IF(M191="","",ROUND(M191*'FREQUÊNCIA INDÚSTRIA'!$B$2,1)))</f>
        <v>4</v>
      </c>
    </row>
    <row r="192" ht="15.75" customHeight="1">
      <c r="B192" s="2" t="s">
        <v>35</v>
      </c>
      <c r="C192" s="2" t="s">
        <v>240</v>
      </c>
      <c r="D192" s="2" t="s">
        <v>177</v>
      </c>
      <c r="E192" s="2" t="s">
        <v>241</v>
      </c>
      <c r="H192" s="3" t="s">
        <v>17</v>
      </c>
      <c r="M192" s="5">
        <f t="shared" si="1"/>
        <v>1</v>
      </c>
      <c r="N192" s="5">
        <f>IF(B192="","",IF(M192="","",ROUND(M192*'FREQUÊNCIA INDÚSTRIA'!$B$2,1)))</f>
        <v>4</v>
      </c>
    </row>
    <row r="193" ht="15.75" customHeight="1">
      <c r="B193" s="2" t="s">
        <v>35</v>
      </c>
      <c r="C193" s="2" t="s">
        <v>242</v>
      </c>
      <c r="D193" s="2" t="s">
        <v>177</v>
      </c>
      <c r="E193" s="2" t="s">
        <v>241</v>
      </c>
      <c r="H193" s="3" t="s">
        <v>17</v>
      </c>
      <c r="M193" s="5">
        <f t="shared" si="1"/>
        <v>1</v>
      </c>
      <c r="N193" s="5">
        <f>IF(B193="","",IF(M193="","",ROUND(M193*'FREQUÊNCIA INDÚSTRIA'!$B$2,1)))</f>
        <v>4</v>
      </c>
    </row>
    <row r="194" ht="15.75" customHeight="1">
      <c r="B194" s="2" t="s">
        <v>186</v>
      </c>
      <c r="C194" s="2" t="s">
        <v>242</v>
      </c>
      <c r="D194" s="2" t="s">
        <v>177</v>
      </c>
      <c r="E194" s="2" t="s">
        <v>241</v>
      </c>
      <c r="H194" s="3" t="s">
        <v>17</v>
      </c>
      <c r="M194" s="5">
        <f t="shared" si="1"/>
        <v>1</v>
      </c>
      <c r="N194" s="5">
        <f>IF(B194="","",IF(M194="","",ROUND(M194*'FREQUÊNCIA INDÚSTRIA'!$B$2,1)))</f>
        <v>4</v>
      </c>
    </row>
    <row r="195" ht="15.75" customHeight="1">
      <c r="B195" s="2" t="s">
        <v>180</v>
      </c>
      <c r="C195" s="2" t="s">
        <v>242</v>
      </c>
      <c r="D195" s="2" t="s">
        <v>177</v>
      </c>
      <c r="E195" s="2" t="s">
        <v>241</v>
      </c>
      <c r="H195" s="3" t="s">
        <v>17</v>
      </c>
      <c r="M195" s="5">
        <f t="shared" si="1"/>
        <v>1</v>
      </c>
      <c r="N195" s="5">
        <f>IF(B195="","",IF(M195="","",ROUND(M195*'FREQUÊNCIA INDÚSTRIA'!$B$2,1)))</f>
        <v>4</v>
      </c>
    </row>
    <row r="196" ht="15.75" customHeight="1">
      <c r="B196" s="2" t="s">
        <v>42</v>
      </c>
      <c r="C196" s="2" t="s">
        <v>243</v>
      </c>
      <c r="D196" s="2" t="s">
        <v>177</v>
      </c>
      <c r="E196" s="2" t="s">
        <v>241</v>
      </c>
      <c r="I196" s="3" t="s">
        <v>17</v>
      </c>
      <c r="M196" s="5">
        <f t="shared" si="1"/>
        <v>1</v>
      </c>
      <c r="N196" s="5">
        <f>IF(B196="","",IF(M196="","",ROUND(M196*'FREQUÊNCIA INDÚSTRIA'!$B$2,1)))</f>
        <v>4</v>
      </c>
    </row>
    <row r="197" ht="15.75" customHeight="1">
      <c r="B197" s="2" t="s">
        <v>28</v>
      </c>
      <c r="C197" s="2" t="s">
        <v>243</v>
      </c>
      <c r="D197" s="2" t="s">
        <v>177</v>
      </c>
      <c r="E197" s="2" t="s">
        <v>241</v>
      </c>
      <c r="I197" s="3" t="s">
        <v>17</v>
      </c>
      <c r="M197" s="5">
        <f t="shared" si="1"/>
        <v>1</v>
      </c>
      <c r="N197" s="5">
        <f>IF(B197="","",IF(M197="","",ROUND(M197*'FREQUÊNCIA INDÚSTRIA'!$B$2,1)))</f>
        <v>4</v>
      </c>
    </row>
    <row r="198" ht="15.75" customHeight="1">
      <c r="B198" s="2" t="s">
        <v>175</v>
      </c>
      <c r="C198" s="2" t="s">
        <v>244</v>
      </c>
      <c r="D198" s="2" t="s">
        <v>177</v>
      </c>
      <c r="E198" s="2" t="s">
        <v>241</v>
      </c>
      <c r="I198" s="3" t="s">
        <v>17</v>
      </c>
      <c r="M198" s="5">
        <f t="shared" si="1"/>
        <v>1</v>
      </c>
      <c r="N198" s="5">
        <f>IF(B198="","",IF(M198="","",ROUND(M198*'FREQUÊNCIA INDÚSTRIA'!$B$2,1)))</f>
        <v>4</v>
      </c>
    </row>
    <row r="199" ht="15.75" customHeight="1">
      <c r="B199" s="2" t="s">
        <v>185</v>
      </c>
      <c r="C199" s="2" t="s">
        <v>244</v>
      </c>
      <c r="D199" s="2" t="s">
        <v>177</v>
      </c>
      <c r="E199" s="2" t="s">
        <v>241</v>
      </c>
      <c r="I199" s="3" t="s">
        <v>17</v>
      </c>
      <c r="M199" s="5">
        <f t="shared" si="1"/>
        <v>1</v>
      </c>
      <c r="N199" s="5">
        <f>IF(B199="","",IF(M199="","",ROUND(M199*'FREQUÊNCIA INDÚSTRIA'!$B$2,1)))</f>
        <v>4</v>
      </c>
    </row>
    <row r="200" ht="15.75" customHeight="1">
      <c r="B200" s="2" t="s">
        <v>35</v>
      </c>
      <c r="C200" s="2" t="s">
        <v>240</v>
      </c>
      <c r="D200" s="2" t="s">
        <v>177</v>
      </c>
      <c r="E200" s="2" t="s">
        <v>241</v>
      </c>
      <c r="J200" s="3" t="s">
        <v>17</v>
      </c>
      <c r="M200" s="5">
        <f t="shared" si="1"/>
        <v>1</v>
      </c>
      <c r="N200" s="5">
        <f>IF(B200="","",IF(M200="","",ROUND(M200*'FREQUÊNCIA INDÚSTRIA'!$B$2,1)))</f>
        <v>4</v>
      </c>
    </row>
    <row r="201" ht="15.75" customHeight="1">
      <c r="B201" s="2" t="s">
        <v>35</v>
      </c>
      <c r="C201" s="2" t="s">
        <v>242</v>
      </c>
      <c r="D201" s="2" t="s">
        <v>177</v>
      </c>
      <c r="E201" s="2" t="s">
        <v>241</v>
      </c>
      <c r="J201" s="3" t="s">
        <v>17</v>
      </c>
      <c r="M201" s="5">
        <f t="shared" si="1"/>
        <v>1</v>
      </c>
      <c r="N201" s="5">
        <f>IF(B201="","",IF(M201="","",ROUND(M201*'FREQUÊNCIA INDÚSTRIA'!$B$2,1)))</f>
        <v>4</v>
      </c>
    </row>
    <row r="202" ht="15.75" customHeight="1">
      <c r="B202" s="2" t="s">
        <v>180</v>
      </c>
      <c r="C202" s="2" t="s">
        <v>242</v>
      </c>
      <c r="D202" s="2" t="s">
        <v>177</v>
      </c>
      <c r="E202" s="2" t="s">
        <v>241</v>
      </c>
      <c r="J202" s="3" t="s">
        <v>17</v>
      </c>
      <c r="M202" s="5">
        <f t="shared" si="1"/>
        <v>1</v>
      </c>
      <c r="N202" s="5">
        <f>IF(B202="","",IF(M202="","",ROUND(M202*'FREQUÊNCIA INDÚSTRIA'!$B$2,1)))</f>
        <v>4</v>
      </c>
    </row>
    <row r="203" ht="15.75" customHeight="1">
      <c r="B203" s="2" t="s">
        <v>42</v>
      </c>
      <c r="C203" s="2" t="s">
        <v>243</v>
      </c>
      <c r="D203" s="2" t="s">
        <v>177</v>
      </c>
      <c r="E203" s="2" t="s">
        <v>241</v>
      </c>
      <c r="K203" s="3" t="s">
        <v>17</v>
      </c>
      <c r="M203" s="5">
        <f t="shared" si="1"/>
        <v>1</v>
      </c>
      <c r="N203" s="5">
        <f>IF(B203="","",IF(M203="","",ROUND(M203*'FREQUÊNCIA INDÚSTRIA'!$B$2,1)))</f>
        <v>4</v>
      </c>
    </row>
    <row r="204" ht="15.75" customHeight="1">
      <c r="B204" s="2" t="s">
        <v>186</v>
      </c>
      <c r="C204" s="2" t="s">
        <v>244</v>
      </c>
      <c r="D204" s="2" t="s">
        <v>177</v>
      </c>
      <c r="E204" s="2" t="s">
        <v>241</v>
      </c>
      <c r="K204" s="3" t="s">
        <v>17</v>
      </c>
      <c r="M204" s="5">
        <f t="shared" si="1"/>
        <v>1</v>
      </c>
      <c r="N204" s="5">
        <f>IF(B204="","",IF(M204="","",ROUND(M204*'FREQUÊNCIA INDÚSTRIA'!$B$2,1)))</f>
        <v>4</v>
      </c>
    </row>
    <row r="205" ht="15.75" customHeight="1">
      <c r="B205" s="7"/>
      <c r="C205" s="7"/>
      <c r="D205" s="7"/>
      <c r="E205" s="7"/>
    </row>
    <row r="206" ht="15.75" customHeight="1">
      <c r="B206" s="7"/>
      <c r="C206" s="7"/>
      <c r="D206" s="7"/>
      <c r="E206" s="7"/>
    </row>
    <row r="207" ht="15.75" customHeight="1">
      <c r="B207" s="7"/>
      <c r="C207" s="7"/>
      <c r="D207" s="7"/>
      <c r="E207" s="7"/>
    </row>
    <row r="208" ht="15.75" customHeight="1">
      <c r="B208" s="7"/>
      <c r="C208" s="7"/>
      <c r="D208" s="7"/>
      <c r="E208" s="7"/>
    </row>
    <row r="209" ht="15.75" customHeight="1">
      <c r="B209" s="7"/>
      <c r="C209" s="7"/>
      <c r="D209" s="7"/>
      <c r="E209" s="7"/>
    </row>
    <row r="210" ht="15.75" customHeight="1">
      <c r="B210" s="7"/>
      <c r="C210" s="7"/>
      <c r="D210" s="7"/>
      <c r="E210" s="7"/>
    </row>
    <row r="211" ht="15.75" customHeight="1">
      <c r="B211" s="7"/>
      <c r="C211" s="7"/>
      <c r="D211" s="7"/>
      <c r="E211" s="7"/>
    </row>
    <row r="212" ht="15.75" customHeight="1">
      <c r="B212" s="7"/>
      <c r="C212" s="7"/>
      <c r="D212" s="7"/>
      <c r="E212" s="7"/>
    </row>
    <row r="213" ht="15.75" customHeight="1">
      <c r="B213" s="7"/>
      <c r="C213" s="7"/>
      <c r="D213" s="7"/>
      <c r="E213" s="7"/>
    </row>
    <row r="214" ht="15.75" customHeight="1">
      <c r="B214" s="7"/>
      <c r="C214" s="7"/>
      <c r="D214" s="7"/>
      <c r="E214" s="7"/>
    </row>
    <row r="215" ht="15.75" customHeight="1">
      <c r="B215" s="7"/>
      <c r="C215" s="7"/>
      <c r="D215" s="7"/>
      <c r="E215" s="7"/>
    </row>
    <row r="216" ht="15.75" customHeight="1">
      <c r="B216" s="7"/>
      <c r="C216" s="7"/>
      <c r="D216" s="7"/>
      <c r="E216" s="7"/>
    </row>
    <row r="217" ht="15.75" customHeight="1">
      <c r="B217" s="7"/>
      <c r="C217" s="7"/>
      <c r="D217" s="7"/>
      <c r="E217" s="7"/>
    </row>
    <row r="218" ht="15.75" customHeight="1">
      <c r="B218" s="7"/>
      <c r="C218" s="7"/>
      <c r="D218" s="7"/>
      <c r="E218" s="7"/>
    </row>
    <row r="219" ht="15.75" customHeight="1">
      <c r="B219" s="7"/>
      <c r="C219" s="7"/>
      <c r="D219" s="7"/>
      <c r="E219" s="7"/>
    </row>
    <row r="220" ht="15.75" customHeight="1">
      <c r="B220" s="7"/>
      <c r="C220" s="7"/>
      <c r="D220" s="7"/>
      <c r="E220" s="7"/>
    </row>
    <row r="221" ht="15.75" customHeight="1">
      <c r="B221" s="7"/>
      <c r="C221" s="7"/>
      <c r="D221" s="7"/>
      <c r="E221" s="7"/>
    </row>
    <row r="222" ht="15.75" customHeight="1">
      <c r="B222" s="7"/>
      <c r="C222" s="7"/>
      <c r="D222" s="7"/>
      <c r="E222" s="7"/>
    </row>
    <row r="223" ht="15.75" customHeight="1">
      <c r="B223" s="7"/>
      <c r="C223" s="7"/>
      <c r="D223" s="7"/>
      <c r="E223" s="7"/>
    </row>
    <row r="224" ht="15.75" customHeight="1">
      <c r="B224" s="5"/>
      <c r="C224" s="5"/>
      <c r="D224" s="5"/>
      <c r="E224" s="5"/>
    </row>
    <row r="225" ht="15.75" customHeight="1">
      <c r="B225" s="5"/>
      <c r="C225" s="5"/>
      <c r="D225" s="5"/>
      <c r="E225" s="5"/>
    </row>
    <row r="226" ht="15.75" customHeight="1">
      <c r="B226" s="5"/>
      <c r="C226" s="5"/>
      <c r="D226" s="5"/>
      <c r="E226" s="5"/>
    </row>
    <row r="227" ht="15.75" customHeight="1">
      <c r="B227" s="5"/>
      <c r="C227" s="5"/>
      <c r="D227" s="5"/>
      <c r="E227" s="5"/>
    </row>
    <row r="228" ht="15.75" customHeight="1">
      <c r="B228" s="5"/>
      <c r="C228" s="5"/>
      <c r="D228" s="5"/>
      <c r="E228" s="5"/>
    </row>
    <row r="229" ht="15.75" customHeight="1">
      <c r="B229" s="5"/>
      <c r="C229" s="5"/>
      <c r="D229" s="5"/>
      <c r="E229" s="5"/>
    </row>
    <row r="230" ht="15.75" customHeight="1">
      <c r="B230" s="5"/>
      <c r="C230" s="5"/>
      <c r="D230" s="5"/>
      <c r="E230" s="5"/>
    </row>
    <row r="231" ht="15.75" customHeight="1">
      <c r="B231" s="5"/>
      <c r="C231" s="5"/>
      <c r="D231" s="5"/>
      <c r="E231" s="5"/>
    </row>
    <row r="232" ht="15.75" customHeight="1">
      <c r="B232" s="5"/>
      <c r="C232" s="5"/>
      <c r="D232" s="5"/>
      <c r="E232" s="5"/>
    </row>
    <row r="233" ht="15.75" customHeight="1">
      <c r="B233" s="5"/>
      <c r="C233" s="5"/>
      <c r="D233" s="5"/>
      <c r="E233" s="5"/>
    </row>
    <row r="234" ht="15.75" customHeight="1">
      <c r="B234" s="5"/>
      <c r="C234" s="5"/>
      <c r="D234" s="5"/>
      <c r="E234" s="5"/>
    </row>
    <row r="235" ht="15.75" customHeight="1">
      <c r="B235" s="5"/>
      <c r="C235" s="5"/>
      <c r="D235" s="5"/>
      <c r="E235" s="5"/>
    </row>
    <row r="236" ht="15.75" customHeight="1">
      <c r="B236" s="5"/>
      <c r="C236" s="5"/>
      <c r="D236" s="5"/>
      <c r="E236" s="5"/>
    </row>
    <row r="237" ht="15.75" customHeight="1">
      <c r="B237" s="5"/>
      <c r="C237" s="5"/>
      <c r="D237" s="5"/>
      <c r="E237" s="5"/>
    </row>
    <row r="238" ht="15.75" customHeight="1">
      <c r="B238" s="5"/>
      <c r="C238" s="5"/>
      <c r="D238" s="5"/>
      <c r="E238" s="5"/>
    </row>
    <row r="239" ht="15.75" customHeight="1">
      <c r="B239" s="5"/>
      <c r="C239" s="5"/>
      <c r="D239" s="5"/>
      <c r="E239" s="5"/>
    </row>
    <row r="240" ht="15.75" customHeight="1">
      <c r="B240" s="5"/>
      <c r="C240" s="5"/>
      <c r="D240" s="5"/>
      <c r="E240" s="5"/>
    </row>
    <row r="241" ht="15.75" customHeight="1">
      <c r="B241" s="5"/>
      <c r="C241" s="5"/>
      <c r="D241" s="5"/>
      <c r="E241" s="5"/>
    </row>
    <row r="242" ht="15.75" customHeight="1">
      <c r="B242" s="5"/>
      <c r="C242" s="5"/>
      <c r="D242" s="5"/>
      <c r="E242" s="5"/>
    </row>
    <row r="243" ht="15.75" customHeight="1">
      <c r="B243" s="5"/>
      <c r="C243" s="5"/>
      <c r="D243" s="5"/>
      <c r="E243" s="5"/>
    </row>
    <row r="244" ht="15.75" customHeight="1">
      <c r="B244" s="5"/>
      <c r="C244" s="5"/>
      <c r="D244" s="5"/>
      <c r="E244" s="5"/>
    </row>
    <row r="245" ht="15.75" customHeight="1">
      <c r="B245" s="5"/>
      <c r="C245" s="5"/>
      <c r="D245" s="5"/>
      <c r="E245" s="5"/>
    </row>
    <row r="246" ht="15.75" customHeight="1">
      <c r="B246" s="5"/>
      <c r="C246" s="5"/>
      <c r="D246" s="5"/>
      <c r="E246" s="5"/>
    </row>
    <row r="247" ht="15.75" customHeight="1">
      <c r="B247" s="5"/>
      <c r="C247" s="5"/>
      <c r="D247" s="5"/>
      <c r="E247" s="5"/>
    </row>
    <row r="248" ht="15.75" customHeight="1">
      <c r="B248" s="5"/>
      <c r="C248" s="5"/>
      <c r="D248" s="5"/>
      <c r="E248" s="5"/>
    </row>
    <row r="249" ht="15.75" customHeight="1">
      <c r="B249" s="5"/>
      <c r="C249" s="5"/>
      <c r="D249" s="5"/>
      <c r="E249" s="5"/>
    </row>
    <row r="250" ht="15.75" customHeight="1">
      <c r="B250" s="5"/>
      <c r="C250" s="5"/>
      <c r="D250" s="5"/>
      <c r="E250" s="5"/>
    </row>
    <row r="251" ht="15.75" customHeight="1">
      <c r="B251" s="5"/>
      <c r="C251" s="5"/>
      <c r="D251" s="5"/>
      <c r="E251" s="5"/>
    </row>
    <row r="252" ht="15.75" customHeight="1">
      <c r="B252" s="5"/>
      <c r="C252" s="5"/>
      <c r="D252" s="5"/>
      <c r="E252" s="5"/>
    </row>
    <row r="253" ht="15.75" customHeight="1">
      <c r="B253" s="5"/>
      <c r="C253" s="5"/>
      <c r="D253" s="5"/>
      <c r="E253" s="5"/>
    </row>
    <row r="254" ht="15.75" customHeight="1">
      <c r="B254" s="5"/>
      <c r="C254" s="5"/>
      <c r="D254" s="5"/>
      <c r="E254" s="5"/>
    </row>
    <row r="255" ht="15.75" customHeight="1">
      <c r="B255" s="5"/>
      <c r="C255" s="5"/>
      <c r="D255" s="5"/>
      <c r="E255" s="5"/>
    </row>
    <row r="256" ht="15.75" customHeight="1">
      <c r="B256" s="5"/>
      <c r="C256" s="5"/>
      <c r="D256" s="5"/>
      <c r="E256" s="5"/>
    </row>
    <row r="257" ht="15.75" customHeight="1">
      <c r="B257" s="5"/>
      <c r="C257" s="5"/>
      <c r="D257" s="5"/>
      <c r="E257" s="5"/>
    </row>
    <row r="258" ht="15.75" customHeight="1">
      <c r="B258" s="5"/>
      <c r="C258" s="5"/>
      <c r="D258" s="5"/>
      <c r="E258" s="5"/>
    </row>
    <row r="259" ht="15.75" customHeight="1">
      <c r="B259" s="5"/>
      <c r="C259" s="5"/>
      <c r="D259" s="5"/>
      <c r="E259" s="5"/>
    </row>
    <row r="260" ht="15.75" customHeight="1">
      <c r="B260" s="5"/>
      <c r="C260" s="5"/>
      <c r="D260" s="5"/>
      <c r="E260" s="5"/>
    </row>
    <row r="261" ht="15.75" customHeight="1">
      <c r="B261" s="5"/>
      <c r="C261" s="5"/>
      <c r="D261" s="5"/>
      <c r="E261" s="5"/>
    </row>
    <row r="262" ht="15.75" customHeight="1">
      <c r="B262" s="5"/>
      <c r="C262" s="5"/>
      <c r="D262" s="5"/>
      <c r="E262" s="5"/>
    </row>
    <row r="263" ht="15.75" customHeight="1">
      <c r="B263" s="5"/>
      <c r="C263" s="5"/>
      <c r="D263" s="5"/>
      <c r="E263" s="5"/>
    </row>
    <row r="264" ht="15.75" customHeight="1">
      <c r="B264" s="5"/>
      <c r="C264" s="5"/>
      <c r="D264" s="5"/>
      <c r="E264" s="5"/>
    </row>
    <row r="265" ht="15.75" customHeight="1">
      <c r="B265" s="5"/>
      <c r="C265" s="5"/>
      <c r="D265" s="5"/>
      <c r="E265" s="5"/>
    </row>
    <row r="266" ht="15.75" customHeight="1">
      <c r="B266" s="5"/>
      <c r="C266" s="5"/>
      <c r="D266" s="5"/>
      <c r="E266" s="5"/>
    </row>
    <row r="267" ht="15.75" customHeight="1">
      <c r="B267" s="5"/>
      <c r="C267" s="5"/>
      <c r="D267" s="5"/>
      <c r="E267" s="5"/>
    </row>
    <row r="268" ht="15.75" customHeight="1">
      <c r="B268" s="5"/>
      <c r="C268" s="5"/>
      <c r="D268" s="5"/>
      <c r="E268" s="5"/>
    </row>
    <row r="269" ht="15.75" customHeight="1">
      <c r="B269" s="5"/>
      <c r="C269" s="5"/>
      <c r="D269" s="5"/>
      <c r="E269" s="5"/>
    </row>
    <row r="270" ht="15.75" customHeight="1">
      <c r="B270" s="5"/>
      <c r="C270" s="5"/>
      <c r="D270" s="5"/>
      <c r="E270" s="5"/>
    </row>
    <row r="271" ht="15.75" customHeight="1">
      <c r="B271" s="5"/>
      <c r="C271" s="5"/>
      <c r="D271" s="5"/>
      <c r="E271" s="5"/>
    </row>
    <row r="272" ht="15.75" customHeight="1">
      <c r="B272" s="5"/>
      <c r="C272" s="5"/>
      <c r="D272" s="5"/>
      <c r="E272" s="5"/>
    </row>
    <row r="273" ht="15.75" customHeight="1">
      <c r="B273" s="5"/>
      <c r="C273" s="5"/>
      <c r="D273" s="5"/>
      <c r="E273" s="5"/>
    </row>
    <row r="274" ht="15.75" customHeight="1">
      <c r="B274" s="5"/>
      <c r="C274" s="5"/>
      <c r="D274" s="5"/>
      <c r="E274" s="5"/>
    </row>
    <row r="275" ht="15.75" customHeight="1">
      <c r="B275" s="5"/>
      <c r="C275" s="5"/>
      <c r="D275" s="5"/>
      <c r="E275" s="5"/>
    </row>
    <row r="276" ht="15.75" customHeight="1">
      <c r="B276" s="5"/>
      <c r="C276" s="5"/>
      <c r="D276" s="5"/>
      <c r="E276" s="5"/>
    </row>
    <row r="277" ht="15.75" customHeight="1">
      <c r="B277" s="5"/>
      <c r="C277" s="5"/>
      <c r="D277" s="5"/>
      <c r="E277" s="5"/>
    </row>
    <row r="278" ht="15.75" customHeight="1">
      <c r="B278" s="5"/>
      <c r="C278" s="5"/>
      <c r="D278" s="5"/>
      <c r="E278" s="5"/>
    </row>
    <row r="279" ht="15.75" customHeight="1">
      <c r="B279" s="5"/>
      <c r="C279" s="5"/>
      <c r="D279" s="5"/>
      <c r="E279" s="5"/>
    </row>
    <row r="280" ht="15.75" customHeight="1">
      <c r="B280" s="5"/>
      <c r="C280" s="5"/>
      <c r="D280" s="5"/>
      <c r="E280" s="5"/>
    </row>
    <row r="281" ht="15.75" customHeight="1">
      <c r="B281" s="5"/>
      <c r="C281" s="5"/>
      <c r="D281" s="5"/>
      <c r="E281" s="5"/>
    </row>
    <row r="282" ht="15.75" customHeight="1">
      <c r="B282" s="5"/>
      <c r="C282" s="5"/>
      <c r="D282" s="5"/>
      <c r="E282" s="5"/>
    </row>
    <row r="283" ht="15.75" customHeight="1">
      <c r="B283" s="5"/>
      <c r="C283" s="5"/>
      <c r="D283" s="5"/>
      <c r="E283" s="5"/>
    </row>
    <row r="284" ht="15.75" customHeight="1">
      <c r="B284" s="5"/>
      <c r="C284" s="5"/>
      <c r="D284" s="5"/>
      <c r="E284" s="5"/>
    </row>
    <row r="285" ht="15.75" customHeight="1">
      <c r="B285" s="5"/>
      <c r="C285" s="5"/>
      <c r="D285" s="5"/>
      <c r="E285" s="5"/>
    </row>
    <row r="286" ht="15.75" customHeight="1">
      <c r="B286" s="5"/>
      <c r="C286" s="5"/>
      <c r="D286" s="5"/>
      <c r="E286" s="5"/>
    </row>
    <row r="287" ht="15.75" customHeight="1">
      <c r="B287" s="5"/>
      <c r="C287" s="5"/>
      <c r="D287" s="5"/>
      <c r="E287" s="5"/>
    </row>
    <row r="288" ht="15.75" customHeight="1">
      <c r="B288" s="5"/>
      <c r="C288" s="5"/>
      <c r="D288" s="5"/>
      <c r="E288" s="5"/>
    </row>
    <row r="289" ht="15.75" customHeight="1">
      <c r="B289" s="5"/>
      <c r="C289" s="5"/>
      <c r="D289" s="5"/>
      <c r="E289" s="5"/>
    </row>
    <row r="290" ht="15.75" customHeight="1">
      <c r="B290" s="5"/>
      <c r="C290" s="5"/>
      <c r="D290" s="5"/>
      <c r="E290" s="5"/>
    </row>
    <row r="291" ht="15.75" customHeight="1">
      <c r="B291" s="5"/>
      <c r="C291" s="5"/>
      <c r="D291" s="5"/>
      <c r="E291" s="5"/>
    </row>
    <row r="292" ht="15.75" customHeight="1">
      <c r="B292" s="5"/>
      <c r="C292" s="5"/>
      <c r="D292" s="5"/>
      <c r="E292" s="5"/>
    </row>
    <row r="293" ht="15.75" customHeight="1">
      <c r="B293" s="5"/>
      <c r="C293" s="5"/>
      <c r="D293" s="5"/>
      <c r="E293" s="5"/>
    </row>
    <row r="294" ht="15.75" customHeight="1">
      <c r="B294" s="5"/>
      <c r="C294" s="5"/>
      <c r="D294" s="5"/>
      <c r="E294" s="5"/>
    </row>
    <row r="295" ht="15.75" customHeight="1">
      <c r="B295" s="5"/>
      <c r="C295" s="5"/>
      <c r="D295" s="5"/>
      <c r="E295" s="5"/>
    </row>
    <row r="296" ht="15.75" customHeight="1">
      <c r="B296" s="5"/>
      <c r="C296" s="5"/>
      <c r="D296" s="5"/>
      <c r="E296" s="5"/>
    </row>
    <row r="297" ht="15.75" customHeight="1">
      <c r="B297" s="5"/>
      <c r="C297" s="5"/>
      <c r="D297" s="5"/>
      <c r="E297" s="5"/>
    </row>
    <row r="298" ht="15.75" customHeight="1">
      <c r="B298" s="5"/>
      <c r="C298" s="5"/>
      <c r="D298" s="5"/>
      <c r="E298" s="5"/>
    </row>
    <row r="299" ht="15.75" customHeight="1">
      <c r="B299" s="5"/>
      <c r="C299" s="5"/>
      <c r="D299" s="5"/>
      <c r="E299" s="5"/>
    </row>
    <row r="300" ht="15.75" customHeight="1">
      <c r="B300" s="5"/>
      <c r="C300" s="5"/>
      <c r="D300" s="5"/>
      <c r="E300" s="5"/>
    </row>
    <row r="301" ht="15.75" customHeight="1">
      <c r="B301" s="5"/>
      <c r="C301" s="5"/>
      <c r="D301" s="5"/>
      <c r="E301" s="5"/>
    </row>
    <row r="302" ht="15.75" customHeight="1">
      <c r="B302" s="5"/>
      <c r="C302" s="5"/>
      <c r="D302" s="5"/>
      <c r="E302" s="5"/>
    </row>
    <row r="303" ht="15.75" customHeight="1">
      <c r="B303" s="5"/>
      <c r="C303" s="5"/>
      <c r="D303" s="5"/>
      <c r="E303" s="5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list" allowBlank="1" showErrorMessage="1" sqref="E2:E303">
      <formula1>PROMOTORES!$B$2:$B$999</formula1>
    </dataValidation>
    <dataValidation type="list" allowBlank="1" showErrorMessage="1" sqref="C2:C303">
      <formula1>LOJAS!$B:$B</formula1>
    </dataValidation>
    <dataValidation type="list" allowBlank="1" showErrorMessage="1" sqref="B2:B303">
      <formula1>INDUSTRIA!$A:$A</formula1>
    </dataValidation>
    <dataValidation type="list" allowBlank="1" showErrorMessage="1" sqref="D50:D51 D53:D56 D58:D61">
      <formula1>"DF,GO,GO,TO"</formula1>
    </dataValidation>
    <dataValidation type="list" allowBlank="1" showErrorMessage="1" sqref="D2:D49 D52 D57 D62:D303">
      <formula1>"DF,GO,BA,MT"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36.0"/>
    <col customWidth="1" min="3" max="3" width="35.25"/>
    <col customWidth="1" min="4" max="4" width="5.75"/>
    <col customWidth="1" min="5" max="5" width="7.0"/>
    <col customWidth="1" min="6" max="6" width="6.88"/>
    <col customWidth="1" min="7" max="7" width="7.25"/>
    <col customWidth="1" min="8" max="8" width="6.5"/>
    <col customWidth="1" min="9" max="9" width="6.88"/>
    <col customWidth="1" min="10" max="10" width="7.0"/>
    <col customWidth="1" min="11" max="11" width="7.38"/>
    <col customWidth="1" min="12" max="12" width="25.38"/>
    <col customWidth="1" min="13" max="13" width="28.5"/>
  </cols>
  <sheetData>
    <row r="1">
      <c r="B1" s="10" t="s">
        <v>170</v>
      </c>
      <c r="C1" s="10" t="s">
        <v>171</v>
      </c>
    </row>
    <row r="2">
      <c r="B2" s="2" t="s">
        <v>241</v>
      </c>
      <c r="C2" s="7">
        <f>SUMPRODUCT(('ROTEIRO ALEXANDRE'!E2:E503=B2)*('ROTEIRO ALEXANDRE'!F2:L503="✓"))</f>
        <v>25</v>
      </c>
    </row>
    <row r="4">
      <c r="B4" s="10" t="s">
        <v>172</v>
      </c>
      <c r="C4" s="10" t="s">
        <v>173</v>
      </c>
      <c r="D4" s="10" t="s">
        <v>2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174</v>
      </c>
      <c r="K4" s="10" t="s">
        <v>10</v>
      </c>
    </row>
    <row r="5">
      <c r="B5" s="7" t="str">
        <f>IFERROR(__xludf.DUMMYFUNCTION("QUERY('ROTEIRO ALEXANDRE'!B2:L503,""SELECT B,C,D,F,G,H,I,J,K,L WHERE E = '""&amp;B2&amp;""' ORDER BY B"",0)"),"ALLEZA")</f>
        <v>ALLEZA</v>
      </c>
      <c r="C5" s="7" t="str">
        <f>IFERROR(__xludf.DUMMYFUNCTION("""COMPUTED_VALUE"""),"ASSAÍ - BRASÍLIA SIA")</f>
        <v>ASSAÍ - BRASÍLIA SIA</v>
      </c>
      <c r="D5" s="7" t="str">
        <f>IFERROR(__xludf.DUMMYFUNCTION("""COMPUTED_VALUE"""),"DF")</f>
        <v>DF</v>
      </c>
      <c r="E5" s="3"/>
      <c r="F5" s="3" t="str">
        <f>IFERROR(__xludf.DUMMYFUNCTION("""COMPUTED_VALUE"""),"✓")</f>
        <v>✓</v>
      </c>
      <c r="G5" s="3"/>
      <c r="H5" s="3"/>
      <c r="I5" s="3"/>
      <c r="J5" s="3"/>
      <c r="K5" s="3"/>
    </row>
    <row r="6">
      <c r="B6" s="5" t="str">
        <f>IFERROR(__xludf.DUMMYFUNCTION("""COMPUTED_VALUE"""),"ALLEZA")</f>
        <v>ALLEZA</v>
      </c>
      <c r="C6" s="5" t="str">
        <f>IFERROR(__xludf.DUMMYFUNCTION("""COMPUTED_VALUE"""),"ASSAÍ - BRASÍLIA SIA")</f>
        <v>ASSAÍ - BRASÍLIA SIA</v>
      </c>
      <c r="D6" s="5" t="str">
        <f>IFERROR(__xludf.DUMMYFUNCTION("""COMPUTED_VALUE"""),"DF")</f>
        <v>DF</v>
      </c>
      <c r="E6" s="4"/>
      <c r="F6" s="4"/>
      <c r="G6" s="4"/>
      <c r="H6" s="4" t="str">
        <f>IFERROR(__xludf.DUMMYFUNCTION("""COMPUTED_VALUE"""),"✓")</f>
        <v>✓</v>
      </c>
      <c r="I6" s="4"/>
      <c r="J6" s="4"/>
      <c r="K6" s="4"/>
    </row>
    <row r="7">
      <c r="B7" s="5" t="str">
        <f>IFERROR(__xludf.DUMMYFUNCTION("""COMPUTED_VALUE"""),"AO QUADRADO")</f>
        <v>AO QUADRADO</v>
      </c>
      <c r="C7" s="5" t="str">
        <f>IFERROR(__xludf.DUMMYFUNCTION("""COMPUTED_VALUE"""),"DIA A DIA - SIA")</f>
        <v>DIA A DIA - SIA</v>
      </c>
      <c r="D7" s="5" t="str">
        <f>IFERROR(__xludf.DUMMYFUNCTION("""COMPUTED_VALUE"""),"DF")</f>
        <v>DF</v>
      </c>
      <c r="E7" s="4"/>
      <c r="F7" s="4" t="str">
        <f>IFERROR(__xludf.DUMMYFUNCTION("""COMPUTED_VALUE"""),"✓")</f>
        <v>✓</v>
      </c>
      <c r="G7" s="4"/>
      <c r="H7" s="4"/>
      <c r="I7" s="4"/>
      <c r="J7" s="4"/>
      <c r="K7" s="4"/>
    </row>
    <row r="8">
      <c r="B8" s="5" t="str">
        <f>IFERROR(__xludf.DUMMYFUNCTION("""COMPUTED_VALUE"""),"AO QUADRADO")</f>
        <v>AO QUADRADO</v>
      </c>
      <c r="C8" s="5" t="str">
        <f>IFERROR(__xludf.DUMMYFUNCTION("""COMPUTED_VALUE"""),"DIA A DIA - SIA")</f>
        <v>DIA A DIA - SIA</v>
      </c>
      <c r="D8" s="5" t="str">
        <f>IFERROR(__xludf.DUMMYFUNCTION("""COMPUTED_VALUE"""),"DF")</f>
        <v>DF</v>
      </c>
      <c r="E8" s="4"/>
      <c r="F8" s="4"/>
      <c r="G8" s="4"/>
      <c r="H8" s="4" t="str">
        <f>IFERROR(__xludf.DUMMYFUNCTION("""COMPUTED_VALUE"""),"✓")</f>
        <v>✓</v>
      </c>
      <c r="I8" s="4"/>
      <c r="J8" s="4"/>
      <c r="K8" s="4"/>
    </row>
    <row r="9">
      <c r="B9" s="5" t="str">
        <f>IFERROR(__xludf.DUMMYFUNCTION("""COMPUTED_VALUE"""),"COPRA")</f>
        <v>COPRA</v>
      </c>
      <c r="C9" s="5" t="str">
        <f>IFERROR(__xludf.DUMMYFUNCTION("""COMPUTED_VALUE"""),"SUPER ADEGA - SIA")</f>
        <v>SUPER ADEGA - SIA</v>
      </c>
      <c r="D9" s="5" t="str">
        <f>IFERROR(__xludf.DUMMYFUNCTION("""COMPUTED_VALUE"""),"DF")</f>
        <v>DF</v>
      </c>
      <c r="E9" s="4" t="str">
        <f>IFERROR(__xludf.DUMMYFUNCTION("""COMPUTED_VALUE"""),"✓")</f>
        <v>✓</v>
      </c>
      <c r="F9" s="4"/>
      <c r="G9" s="4"/>
      <c r="H9" s="4"/>
      <c r="I9" s="4"/>
      <c r="J9" s="4"/>
      <c r="K9" s="4"/>
    </row>
    <row r="10">
      <c r="B10" s="5" t="str">
        <f>IFERROR(__xludf.DUMMYFUNCTION("""COMPUTED_VALUE"""),"COPRA")</f>
        <v>COPRA</v>
      </c>
      <c r="C10" s="5" t="str">
        <f>IFERROR(__xludf.DUMMYFUNCTION("""COMPUTED_VALUE"""),"SUPER ADEGA - SIA")</f>
        <v>SUPER ADEGA - SIA</v>
      </c>
      <c r="D10" s="5" t="str">
        <f>IFERROR(__xludf.DUMMYFUNCTION("""COMPUTED_VALUE"""),"DF")</f>
        <v>DF</v>
      </c>
      <c r="E10" s="4"/>
      <c r="F10" s="4"/>
      <c r="G10" s="4" t="str">
        <f>IFERROR(__xludf.DUMMYFUNCTION("""COMPUTED_VALUE"""),"✓")</f>
        <v>✓</v>
      </c>
      <c r="H10" s="4"/>
      <c r="I10" s="4"/>
      <c r="J10" s="4"/>
      <c r="K10" s="4"/>
    </row>
    <row r="11">
      <c r="B11" s="5" t="str">
        <f>IFERROR(__xludf.DUMMYFUNCTION("""COMPUTED_VALUE"""),"COPRA")</f>
        <v>COPRA</v>
      </c>
      <c r="C11" s="5" t="str">
        <f>IFERROR(__xludf.DUMMYFUNCTION("""COMPUTED_VALUE"""),"SUPER ADEGA - SIA")</f>
        <v>SUPER ADEGA - SIA</v>
      </c>
      <c r="D11" s="5" t="str">
        <f>IFERROR(__xludf.DUMMYFUNCTION("""COMPUTED_VALUE"""),"DF")</f>
        <v>DF</v>
      </c>
      <c r="E11" s="4"/>
      <c r="F11" s="4"/>
      <c r="G11" s="4"/>
      <c r="H11" s="4"/>
      <c r="I11" s="4" t="str">
        <f>IFERROR(__xludf.DUMMYFUNCTION("""COMPUTED_VALUE"""),"✓")</f>
        <v>✓</v>
      </c>
      <c r="J11" s="4"/>
      <c r="K11" s="4"/>
    </row>
    <row r="12">
      <c r="B12" s="5" t="str">
        <f>IFERROR(__xludf.DUMMYFUNCTION("""COMPUTED_VALUE"""),"DON LUIZ")</f>
        <v>DON LUIZ</v>
      </c>
      <c r="C12" s="5" t="str">
        <f>IFERROR(__xludf.DUMMYFUNCTION("""COMPUTED_VALUE"""),"ATACADÃO - BRASÍLIA SIA")</f>
        <v>ATACADÃO - BRASÍLIA SIA</v>
      </c>
      <c r="D12" s="5" t="str">
        <f>IFERROR(__xludf.DUMMYFUNCTION("""COMPUTED_VALUE"""),"DF")</f>
        <v>DF</v>
      </c>
      <c r="E12" s="4" t="str">
        <f>IFERROR(__xludf.DUMMYFUNCTION("""COMPUTED_VALUE"""),"✓")</f>
        <v>✓</v>
      </c>
      <c r="F12" s="4"/>
      <c r="G12" s="4"/>
      <c r="H12" s="4"/>
      <c r="I12" s="4"/>
      <c r="J12" s="4"/>
      <c r="K12" s="4"/>
    </row>
    <row r="13">
      <c r="B13" s="5" t="str">
        <f>IFERROR(__xludf.DUMMYFUNCTION("""COMPUTED_VALUE"""),"EMBAVI")</f>
        <v>EMBAVI</v>
      </c>
      <c r="C13" s="5" t="str">
        <f>IFERROR(__xludf.DUMMYFUNCTION("""COMPUTED_VALUE"""),"ASSAÍ - BRASÍLIA SIA")</f>
        <v>ASSAÍ - BRASÍLIA SIA</v>
      </c>
      <c r="D13" s="5" t="str">
        <f>IFERROR(__xludf.DUMMYFUNCTION("""COMPUTED_VALUE"""),"DF")</f>
        <v>DF</v>
      </c>
      <c r="E13" s="4"/>
      <c r="F13" s="4" t="str">
        <f>IFERROR(__xludf.DUMMYFUNCTION("""COMPUTED_VALUE"""),"✓")</f>
        <v>✓</v>
      </c>
      <c r="G13" s="4"/>
      <c r="H13" s="4"/>
      <c r="I13" s="4"/>
      <c r="J13" s="4"/>
      <c r="K13" s="4"/>
    </row>
    <row r="14">
      <c r="B14" s="5" t="str">
        <f>IFERROR(__xludf.DUMMYFUNCTION("""COMPUTED_VALUE"""),"EMBAVI")</f>
        <v>EMBAVI</v>
      </c>
      <c r="C14" s="5" t="str">
        <f>IFERROR(__xludf.DUMMYFUNCTION("""COMPUTED_VALUE"""),"ASSAÍ - BRASÍLIA SIA")</f>
        <v>ASSAÍ - BRASÍLIA SIA</v>
      </c>
      <c r="D14" s="5" t="str">
        <f>IFERROR(__xludf.DUMMYFUNCTION("""COMPUTED_VALUE"""),"DF")</f>
        <v>DF</v>
      </c>
      <c r="E14" s="4"/>
      <c r="F14" s="4"/>
      <c r="G14" s="4"/>
      <c r="H14" s="4" t="str">
        <f>IFERROR(__xludf.DUMMYFUNCTION("""COMPUTED_VALUE"""),"✓")</f>
        <v>✓</v>
      </c>
      <c r="I14" s="4"/>
      <c r="J14" s="4"/>
      <c r="K14" s="4"/>
    </row>
    <row r="15">
      <c r="B15" s="5" t="str">
        <f>IFERROR(__xludf.DUMMYFUNCTION("""COMPUTED_VALUE"""),"EMBAVI")</f>
        <v>EMBAVI</v>
      </c>
      <c r="C15" s="5" t="str">
        <f>IFERROR(__xludf.DUMMYFUNCTION("""COMPUTED_VALUE"""),"ASSAÍ - BRASÍLIA SIA")</f>
        <v>ASSAÍ - BRASÍLIA SIA</v>
      </c>
      <c r="D15" s="5" t="str">
        <f>IFERROR(__xludf.DUMMYFUNCTION("""COMPUTED_VALUE"""),"DF")</f>
        <v>DF</v>
      </c>
      <c r="E15" s="4"/>
      <c r="F15" s="4"/>
      <c r="G15" s="4"/>
      <c r="H15" s="4"/>
      <c r="I15" s="4"/>
      <c r="J15" s="4" t="str">
        <f>IFERROR(__xludf.DUMMYFUNCTION("""COMPUTED_VALUE"""),"✓")</f>
        <v>✓</v>
      </c>
      <c r="K15" s="4"/>
    </row>
    <row r="16">
      <c r="B16" s="5" t="str">
        <f>IFERROR(__xludf.DUMMYFUNCTION("""COMPUTED_VALUE"""),"KING")</f>
        <v>KING</v>
      </c>
      <c r="C16" s="5" t="str">
        <f>IFERROR(__xludf.DUMMYFUNCTION("""COMPUTED_VALUE"""),"ATACADÃO - BRASÍLIA SIA")</f>
        <v>ATACADÃO - BRASÍLIA SIA</v>
      </c>
      <c r="D16" s="5" t="str">
        <f>IFERROR(__xludf.DUMMYFUNCTION("""COMPUTED_VALUE"""),"DF")</f>
        <v>DF</v>
      </c>
      <c r="E16" s="4" t="str">
        <f>IFERROR(__xludf.DUMMYFUNCTION("""COMPUTED_VALUE"""),"✓")</f>
        <v>✓</v>
      </c>
      <c r="F16" s="4"/>
      <c r="G16" s="4"/>
      <c r="H16" s="4"/>
      <c r="I16" s="4"/>
      <c r="J16" s="4"/>
      <c r="K16" s="4"/>
    </row>
    <row r="17">
      <c r="B17" s="5" t="str">
        <f>IFERROR(__xludf.DUMMYFUNCTION("""COMPUTED_VALUE"""),"KING")</f>
        <v>KING</v>
      </c>
      <c r="C17" s="5" t="str">
        <f>IFERROR(__xludf.DUMMYFUNCTION("""COMPUTED_VALUE"""),"SUPER ADEGA - SIA")</f>
        <v>SUPER ADEGA - SIA</v>
      </c>
      <c r="D17" s="5" t="str">
        <f>IFERROR(__xludf.DUMMYFUNCTION("""COMPUTED_VALUE"""),"DF")</f>
        <v>DF</v>
      </c>
      <c r="E17" s="4" t="str">
        <f>IFERROR(__xludf.DUMMYFUNCTION("""COMPUTED_VALUE"""),"✓")</f>
        <v>✓</v>
      </c>
      <c r="F17" s="4"/>
      <c r="G17" s="4"/>
      <c r="H17" s="4"/>
      <c r="I17" s="4"/>
      <c r="J17" s="4"/>
      <c r="K17" s="4"/>
    </row>
    <row r="18">
      <c r="B18" s="5" t="str">
        <f>IFERROR(__xludf.DUMMYFUNCTION("""COMPUTED_VALUE"""),"KING")</f>
        <v>KING</v>
      </c>
      <c r="C18" s="5" t="str">
        <f>IFERROR(__xludf.DUMMYFUNCTION("""COMPUTED_VALUE"""),"ASSAÍ - BRASÍLIA SIA")</f>
        <v>ASSAÍ - BRASÍLIA SIA</v>
      </c>
      <c r="D18" s="5" t="str">
        <f>IFERROR(__xludf.DUMMYFUNCTION("""COMPUTED_VALUE"""),"DF")</f>
        <v>DF</v>
      </c>
      <c r="E18" s="4"/>
      <c r="F18" s="4" t="str">
        <f>IFERROR(__xludf.DUMMYFUNCTION("""COMPUTED_VALUE"""),"✓")</f>
        <v>✓</v>
      </c>
      <c r="G18" s="4"/>
      <c r="H18" s="4"/>
      <c r="I18" s="4"/>
      <c r="J18" s="4"/>
      <c r="K18" s="4"/>
    </row>
    <row r="19">
      <c r="B19" s="5" t="str">
        <f>IFERROR(__xludf.DUMMYFUNCTION("""COMPUTED_VALUE"""),"PACHA ALIMENTOS")</f>
        <v>PACHA ALIMENTOS</v>
      </c>
      <c r="C19" s="5" t="str">
        <f>IFERROR(__xludf.DUMMYFUNCTION("""COMPUTED_VALUE"""),"DIA A DIA - SIA")</f>
        <v>DIA A DIA - SIA</v>
      </c>
      <c r="D19" s="5" t="str">
        <f>IFERROR(__xludf.DUMMYFUNCTION("""COMPUTED_VALUE"""),"DF")</f>
        <v>DF</v>
      </c>
      <c r="E19" s="4"/>
      <c r="F19" s="4" t="str">
        <f>IFERROR(__xludf.DUMMYFUNCTION("""COMPUTED_VALUE"""),"✓")</f>
        <v>✓</v>
      </c>
      <c r="G19" s="4"/>
      <c r="H19" s="4"/>
      <c r="I19" s="4"/>
      <c r="J19" s="4"/>
      <c r="K19" s="4"/>
    </row>
    <row r="20" ht="15.75" customHeight="1">
      <c r="B20" s="5" t="str">
        <f>IFERROR(__xludf.DUMMYFUNCTION("""COMPUTED_VALUE"""),"PACHA ALIMENTOS")</f>
        <v>PACHA ALIMENTOS</v>
      </c>
      <c r="C20" s="5" t="str">
        <f>IFERROR(__xludf.DUMMYFUNCTION("""COMPUTED_VALUE"""),"DIA A DIA - SIA")</f>
        <v>DIA A DIA - SIA</v>
      </c>
      <c r="D20" s="5" t="str">
        <f>IFERROR(__xludf.DUMMYFUNCTION("""COMPUTED_VALUE"""),"DF")</f>
        <v>DF</v>
      </c>
      <c r="E20" s="4"/>
      <c r="F20" s="4"/>
      <c r="G20" s="4"/>
      <c r="H20" s="4" t="str">
        <f>IFERROR(__xludf.DUMMYFUNCTION("""COMPUTED_VALUE"""),"✓")</f>
        <v>✓</v>
      </c>
      <c r="I20" s="4"/>
      <c r="J20" s="4"/>
      <c r="K20" s="4"/>
    </row>
    <row r="21" ht="15.75" customHeight="1">
      <c r="B21" s="5" t="str">
        <f>IFERROR(__xludf.DUMMYFUNCTION("""COMPUTED_VALUE"""),"PAMPLONA")</f>
        <v>PAMPLONA</v>
      </c>
      <c r="C21" s="5" t="str">
        <f>IFERROR(__xludf.DUMMYFUNCTION("""COMPUTED_VALUE"""),"ATACADÃO - BRASÍLIA SIA")</f>
        <v>ATACADÃO - BRASÍLIA SIA</v>
      </c>
      <c r="D21" s="5" t="str">
        <f>IFERROR(__xludf.DUMMYFUNCTION("""COMPUTED_VALUE"""),"DF")</f>
        <v>DF</v>
      </c>
      <c r="E21" s="4" t="str">
        <f>IFERROR(__xludf.DUMMYFUNCTION("""COMPUTED_VALUE"""),"✓")</f>
        <v>✓</v>
      </c>
      <c r="F21" s="4"/>
      <c r="G21" s="4"/>
      <c r="H21" s="4"/>
      <c r="I21" s="4"/>
      <c r="J21" s="4"/>
      <c r="K21" s="4"/>
    </row>
    <row r="22" ht="15.75" customHeight="1">
      <c r="B22" s="5" t="str">
        <f>IFERROR(__xludf.DUMMYFUNCTION("""COMPUTED_VALUE"""),"PAMPLONA")</f>
        <v>PAMPLONA</v>
      </c>
      <c r="C22" s="5" t="str">
        <f>IFERROR(__xludf.DUMMYFUNCTION("""COMPUTED_VALUE"""),"SUPER ADEGA - SIA")</f>
        <v>SUPER ADEGA - SIA</v>
      </c>
      <c r="D22" s="5" t="str">
        <f>IFERROR(__xludf.DUMMYFUNCTION("""COMPUTED_VALUE"""),"DF")</f>
        <v>DF</v>
      </c>
      <c r="E22" s="4" t="str">
        <f>IFERROR(__xludf.DUMMYFUNCTION("""COMPUTED_VALUE"""),"✓")</f>
        <v>✓</v>
      </c>
      <c r="F22" s="4"/>
      <c r="G22" s="4"/>
      <c r="H22" s="4"/>
      <c r="I22" s="4"/>
      <c r="J22" s="4"/>
      <c r="K22" s="4"/>
    </row>
    <row r="23" ht="15.75" customHeight="1">
      <c r="B23" s="5" t="str">
        <f>IFERROR(__xludf.DUMMYFUNCTION("""COMPUTED_VALUE"""),"PAMPLONA")</f>
        <v>PAMPLONA</v>
      </c>
      <c r="C23" s="5" t="str">
        <f>IFERROR(__xludf.DUMMYFUNCTION("""COMPUTED_VALUE"""),"ATACADÃO - BRASÍLIA SIA")</f>
        <v>ATACADÃO - BRASÍLIA SIA</v>
      </c>
      <c r="D23" s="5" t="str">
        <f>IFERROR(__xludf.DUMMYFUNCTION("""COMPUTED_VALUE"""),"DF")</f>
        <v>DF</v>
      </c>
      <c r="E23" s="4"/>
      <c r="F23" s="4"/>
      <c r="G23" s="4" t="str">
        <f>IFERROR(__xludf.DUMMYFUNCTION("""COMPUTED_VALUE"""),"✓")</f>
        <v>✓</v>
      </c>
      <c r="H23" s="4"/>
      <c r="I23" s="4"/>
      <c r="J23" s="4"/>
      <c r="K23" s="4"/>
    </row>
    <row r="24" ht="15.75" customHeight="1">
      <c r="B24" s="5" t="str">
        <f>IFERROR(__xludf.DUMMYFUNCTION("""COMPUTED_VALUE"""),"PAMPLONA")</f>
        <v>PAMPLONA</v>
      </c>
      <c r="C24" s="5" t="str">
        <f>IFERROR(__xludf.DUMMYFUNCTION("""COMPUTED_VALUE"""),"SUPER ADEGA - SIA")</f>
        <v>SUPER ADEGA - SIA</v>
      </c>
      <c r="D24" s="5" t="str">
        <f>IFERROR(__xludf.DUMMYFUNCTION("""COMPUTED_VALUE"""),"DF")</f>
        <v>DF</v>
      </c>
      <c r="E24" s="5"/>
      <c r="F24" s="5"/>
      <c r="G24" s="5" t="str">
        <f>IFERROR(__xludf.DUMMYFUNCTION("""COMPUTED_VALUE"""),"✓")</f>
        <v>✓</v>
      </c>
      <c r="H24" s="5"/>
      <c r="I24" s="5"/>
      <c r="J24" s="5"/>
      <c r="K24" s="5"/>
    </row>
    <row r="25" ht="15.75" customHeight="1">
      <c r="B25" s="5" t="str">
        <f>IFERROR(__xludf.DUMMYFUNCTION("""COMPUTED_VALUE"""),"PAMPLONA")</f>
        <v>PAMPLONA</v>
      </c>
      <c r="C25" s="5" t="str">
        <f>IFERROR(__xludf.DUMMYFUNCTION("""COMPUTED_VALUE"""),"ATACADÃO - BRASÍLIA SIA")</f>
        <v>ATACADÃO - BRASÍLIA SIA</v>
      </c>
      <c r="D25" s="5" t="str">
        <f>IFERROR(__xludf.DUMMYFUNCTION("""COMPUTED_VALUE"""),"DF")</f>
        <v>DF</v>
      </c>
      <c r="E25" s="5"/>
      <c r="F25" s="5"/>
      <c r="G25" s="5"/>
      <c r="H25" s="5"/>
      <c r="I25" s="5" t="str">
        <f>IFERROR(__xludf.DUMMYFUNCTION("""COMPUTED_VALUE"""),"✓")</f>
        <v>✓</v>
      </c>
      <c r="J25" s="5"/>
      <c r="K25" s="5"/>
    </row>
    <row r="26" ht="15.75" customHeight="1">
      <c r="B26" s="5" t="str">
        <f>IFERROR(__xludf.DUMMYFUNCTION("""COMPUTED_VALUE"""),"PAMPLONA")</f>
        <v>PAMPLONA</v>
      </c>
      <c r="C26" s="5" t="str">
        <f>IFERROR(__xludf.DUMMYFUNCTION("""COMPUTED_VALUE"""),"SUPER ADEGA - SIA")</f>
        <v>SUPER ADEGA - SIA</v>
      </c>
      <c r="D26" s="5" t="str">
        <f>IFERROR(__xludf.DUMMYFUNCTION("""COMPUTED_VALUE"""),"DF")</f>
        <v>DF</v>
      </c>
      <c r="E26" s="5"/>
      <c r="F26" s="5"/>
      <c r="G26" s="5"/>
      <c r="H26" s="5"/>
      <c r="I26" s="5" t="str">
        <f>IFERROR(__xludf.DUMMYFUNCTION("""COMPUTED_VALUE"""),"✓")</f>
        <v>✓</v>
      </c>
      <c r="J26" s="5"/>
      <c r="K26" s="5"/>
    </row>
    <row r="27" ht="15.75" customHeight="1">
      <c r="B27" s="5" t="str">
        <f>IFERROR(__xludf.DUMMYFUNCTION("""COMPUTED_VALUE"""),"SELETA")</f>
        <v>SELETA</v>
      </c>
      <c r="C27" s="5" t="str">
        <f>IFERROR(__xludf.DUMMYFUNCTION("""COMPUTED_VALUE"""),"SUPER ADEGA - SIA")</f>
        <v>SUPER ADEGA - SIA</v>
      </c>
      <c r="D27" s="5" t="str">
        <f>IFERROR(__xludf.DUMMYFUNCTION("""COMPUTED_VALUE"""),"DF")</f>
        <v>DF</v>
      </c>
      <c r="E27" s="5" t="str">
        <f>IFERROR(__xludf.DUMMYFUNCTION("""COMPUTED_VALUE"""),"✓")</f>
        <v>✓</v>
      </c>
      <c r="F27" s="5"/>
      <c r="G27" s="5"/>
      <c r="H27" s="5"/>
      <c r="I27" s="5"/>
      <c r="J27" s="5"/>
      <c r="K27" s="5"/>
    </row>
    <row r="28" ht="15.75" customHeight="1">
      <c r="B28" s="5" t="str">
        <f>IFERROR(__xludf.DUMMYFUNCTION("""COMPUTED_VALUE"""),"SELETA")</f>
        <v>SELETA</v>
      </c>
      <c r="C28" s="5" t="str">
        <f>IFERROR(__xludf.DUMMYFUNCTION("""COMPUTED_VALUE"""),"SUPER ADEGA - SIA")</f>
        <v>SUPER ADEGA - SIA</v>
      </c>
      <c r="D28" s="5" t="str">
        <f>IFERROR(__xludf.DUMMYFUNCTION("""COMPUTED_VALUE"""),"DF")</f>
        <v>DF</v>
      </c>
      <c r="E28" s="5"/>
      <c r="F28" s="5"/>
      <c r="G28" s="5" t="str">
        <f>IFERROR(__xludf.DUMMYFUNCTION("""COMPUTED_VALUE"""),"✓")</f>
        <v>✓</v>
      </c>
      <c r="H28" s="5"/>
      <c r="I28" s="5"/>
      <c r="J28" s="5"/>
      <c r="K28" s="5"/>
    </row>
    <row r="29" ht="15.75" customHeight="1">
      <c r="B29" s="5" t="str">
        <f>IFERROR(__xludf.DUMMYFUNCTION("""COMPUTED_VALUE"""),"SELETA")</f>
        <v>SELETA</v>
      </c>
      <c r="C29" s="5" t="str">
        <f>IFERROR(__xludf.DUMMYFUNCTION("""COMPUTED_VALUE"""),"DIA A DIA - SIA")</f>
        <v>DIA A DIA - SIA</v>
      </c>
      <c r="D29" s="5" t="str">
        <f>IFERROR(__xludf.DUMMYFUNCTION("""COMPUTED_VALUE"""),"DF")</f>
        <v>DF</v>
      </c>
      <c r="E29" s="5"/>
      <c r="F29" s="5"/>
      <c r="G29" s="5"/>
      <c r="H29" s="5"/>
      <c r="I29" s="5"/>
      <c r="J29" s="5" t="str">
        <f>IFERROR(__xludf.DUMMYFUNCTION("""COMPUTED_VALUE"""),"✓")</f>
        <v>✓</v>
      </c>
      <c r="K29" s="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B2">
      <formula1>PROMOTORES!$B$2:$B$999</formula1>
    </dataValidation>
  </dataValidations>
  <printOptions gridLines="1" horizontalCentered="1"/>
  <pageMargins bottom="0.75" footer="0.0" header="0.0" left="0.7" right="0.7" top="0.75"/>
  <pageSetup paperSize="9" scale="9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9.0"/>
    <col customWidth="1" min="3" max="3" width="16.5"/>
    <col customWidth="1" min="4" max="4" width="10.25"/>
    <col customWidth="1" min="5" max="5" width="10.63"/>
    <col customWidth="1" min="6" max="6" width="22.0"/>
    <col customWidth="1" min="7" max="7" width="23.38"/>
    <col customWidth="1" min="8" max="8" width="29.25"/>
    <col customWidth="1" min="9" max="9" width="22.13"/>
  </cols>
  <sheetData>
    <row r="1">
      <c r="B1" s="13" t="s">
        <v>245</v>
      </c>
      <c r="C1" s="14"/>
    </row>
    <row r="2">
      <c r="B2" s="15">
        <v>4.0</v>
      </c>
    </row>
    <row r="3" ht="12.0" customHeight="1"/>
    <row r="6">
      <c r="B6" s="16" t="s">
        <v>246</v>
      </c>
      <c r="C6" s="16" t="s">
        <v>247</v>
      </c>
      <c r="D6" s="16" t="s">
        <v>248</v>
      </c>
      <c r="E6" s="17" t="s">
        <v>249</v>
      </c>
      <c r="F6" s="17" t="s">
        <v>250</v>
      </c>
    </row>
    <row r="7">
      <c r="B7" s="5" t="str">
        <f>INDUSTRIA!A2</f>
        <v>ALLEZA</v>
      </c>
      <c r="C7" s="6">
        <v>144.0</v>
      </c>
      <c r="D7" s="5">
        <f>SUMIF('ROTEIRO LUCAS'!$B$2:$B$299,$B7,'ROTEIRO LUCAS'!$N$2:$N$299)+SUMIF('ROTEIRO ALEXANDRE'!$B$2:$B$320,$B7,'ROTEIRO ALEXANDRE'!$N$2:$N$320)</f>
        <v>188</v>
      </c>
      <c r="E7" s="5">
        <f t="shared" ref="E7:E14" si="1">D7-C7</f>
        <v>44</v>
      </c>
      <c r="F7" s="5" t="str">
        <f t="shared" ref="F7:F31" si="2">IF(C7=0,"SEM META",IF(D7&gt;=C7,"OK","ABAIXO DO CONTRATADO"))</f>
        <v>OK</v>
      </c>
    </row>
    <row r="8">
      <c r="B8" s="5" t="str">
        <f>INDUSTRIA!A3</f>
        <v>AUTENTICOCO</v>
      </c>
      <c r="C8" s="6">
        <v>192.0</v>
      </c>
      <c r="D8" s="5">
        <f>SUMIF('ROTEIRO LUCAS'!$B$2:$B$299,$B8,'ROTEIRO LUCAS'!$N$2:$N$299)+SUMIF('ROTEIRO ALEXANDRE'!$B$2:$B$320,$B8,'ROTEIRO ALEXANDRE'!$N$2:$N$320)</f>
        <v>16</v>
      </c>
      <c r="E8" s="5">
        <f t="shared" si="1"/>
        <v>-176</v>
      </c>
      <c r="F8" s="5" t="str">
        <f t="shared" si="2"/>
        <v>ABAIXO DO CONTRATADO</v>
      </c>
    </row>
    <row r="9">
      <c r="B9" s="5" t="str">
        <f>INDUSTRIA!A4</f>
        <v>AO QUADRADO</v>
      </c>
      <c r="C9" s="6">
        <v>50.0</v>
      </c>
      <c r="D9" s="5">
        <f>SUMIF('ROTEIRO LUCAS'!$B$2:$B$299,$B9,'ROTEIRO LUCAS'!$N$2:$N$299)+SUMIF('ROTEIRO ALEXANDRE'!$B$2:$B$320,$B9,'ROTEIRO ALEXANDRE'!$N$2:$N$320)</f>
        <v>72</v>
      </c>
      <c r="E9" s="5">
        <f t="shared" si="1"/>
        <v>22</v>
      </c>
      <c r="F9" s="5" t="str">
        <f t="shared" si="2"/>
        <v>OK</v>
      </c>
    </row>
    <row r="10">
      <c r="B10" s="5" t="str">
        <f>INDUSTRIA!A5</f>
        <v>COPRA</v>
      </c>
      <c r="C10" s="6">
        <v>84.0</v>
      </c>
      <c r="D10" s="5">
        <f>SUMIF('ROTEIRO LUCAS'!$B$2:$B$299,$B10,'ROTEIRO LUCAS'!$N$2:$N$299)+SUMIF('ROTEIRO ALEXANDRE'!$B$2:$B$320,$B10,'ROTEIRO ALEXANDRE'!$N$2:$N$320)</f>
        <v>56</v>
      </c>
      <c r="E10" s="5">
        <f t="shared" si="1"/>
        <v>-28</v>
      </c>
      <c r="F10" s="5" t="str">
        <f t="shared" si="2"/>
        <v>ABAIXO DO CONTRATADO</v>
      </c>
    </row>
    <row r="11">
      <c r="B11" s="5" t="str">
        <f>INDUSTRIA!A6</f>
        <v>CICOPAL GO</v>
      </c>
      <c r="C11" s="6">
        <v>79.0</v>
      </c>
      <c r="D11" s="5">
        <f>SUMIF('ROTEIRO LUCAS'!$B$2:$B$299,$B11,'ROTEIRO LUCAS'!$N$2:$N$299)+SUMIF('ROTEIRO ALEXANDRE'!$B$2:$B$320,$B11,'ROTEIRO ALEXANDRE'!$N$2:$N$320)</f>
        <v>0</v>
      </c>
      <c r="E11" s="5">
        <f t="shared" si="1"/>
        <v>-79</v>
      </c>
      <c r="F11" s="5" t="str">
        <f t="shared" si="2"/>
        <v>ABAIXO DO CONTRATADO</v>
      </c>
    </row>
    <row r="12">
      <c r="B12" s="5" t="str">
        <f>INDUSTRIA!A7</f>
        <v>CO LATICÍNIOS</v>
      </c>
      <c r="C12" s="6">
        <v>252.0</v>
      </c>
      <c r="D12" s="5">
        <f>SUMIF('ROTEIRO LUCAS'!$B$2:$B$299,$B12,'ROTEIRO LUCAS'!$N$2:$N$299)+SUMIF('ROTEIRO ALEXANDRE'!$B$2:$B$320,$B12,'ROTEIRO ALEXANDRE'!$N$2:$N$320)</f>
        <v>168</v>
      </c>
      <c r="E12" s="5">
        <f t="shared" si="1"/>
        <v>-84</v>
      </c>
      <c r="F12" s="5" t="str">
        <f t="shared" si="2"/>
        <v>ABAIXO DO CONTRATADO</v>
      </c>
    </row>
    <row r="13">
      <c r="B13" s="5" t="str">
        <f>INDUSTRIA!A8</f>
        <v>COOPATOS</v>
      </c>
      <c r="C13" s="6">
        <v>72.0</v>
      </c>
      <c r="D13" s="5">
        <f>SUMIF('ROTEIRO LUCAS'!$B$2:$B$299,$B13,'ROTEIRO LUCAS'!$N$2:$N$299)+SUMIF('ROTEIRO ALEXANDRE'!$B$2:$B$320,$B13,'ROTEIRO ALEXANDRE'!$N$2:$N$320)</f>
        <v>48</v>
      </c>
      <c r="E13" s="5">
        <f t="shared" si="1"/>
        <v>-24</v>
      </c>
      <c r="F13" s="5" t="str">
        <f t="shared" si="2"/>
        <v>ABAIXO DO CONTRATADO</v>
      </c>
    </row>
    <row r="14">
      <c r="B14" s="5" t="str">
        <f>INDUSTRIA!A9</f>
        <v>FRUTA POLPA</v>
      </c>
      <c r="C14" s="6">
        <v>24.0</v>
      </c>
      <c r="D14" s="5">
        <f>SUMIF('ROTEIRO LUCAS'!$B$2:$B$299,$B14,'ROTEIRO LUCAS'!$N$2:$N$299)+SUMIF('ROTEIRO ALEXANDRE'!$B$2:$B$320,$B14,'ROTEIRO ALEXANDRE'!$N$2:$N$320)</f>
        <v>0</v>
      </c>
      <c r="E14" s="5">
        <f t="shared" si="1"/>
        <v>-24</v>
      </c>
      <c r="F14" s="5" t="str">
        <f t="shared" si="2"/>
        <v>ABAIXO DO CONTRATADO</v>
      </c>
    </row>
    <row r="15" hidden="1">
      <c r="B15" s="5" t="str">
        <f>INDUSTRIA!A10</f>
        <v>GRUPO AMA</v>
      </c>
      <c r="F15" s="5" t="str">
        <f t="shared" si="2"/>
        <v>SEM META</v>
      </c>
    </row>
    <row r="16">
      <c r="B16" s="5" t="str">
        <f>INDUSTRIA!A11</f>
        <v>DON LUIZ</v>
      </c>
      <c r="C16" s="6">
        <v>32.0</v>
      </c>
      <c r="D16" s="5">
        <f>SUMIF('ROTEIRO LUCAS'!$B$2:$B$299,$B16,'ROTEIRO LUCAS'!$N$2:$N$299)+SUMIF('ROTEIRO ALEXANDRE'!$B$2:$B$320,$B16,'ROTEIRO ALEXANDRE'!$N$2:$N$320)</f>
        <v>20</v>
      </c>
      <c r="E16" s="5">
        <f t="shared" ref="E16:E31" si="3">D16-C16</f>
        <v>-12</v>
      </c>
      <c r="F16" s="5" t="str">
        <f t="shared" si="2"/>
        <v>ABAIXO DO CONTRATADO</v>
      </c>
    </row>
    <row r="17">
      <c r="B17" s="5" t="str">
        <f>INDUSTRIA!A12</f>
        <v>RB ALIMENTOS</v>
      </c>
      <c r="C17" s="6">
        <v>58.0</v>
      </c>
      <c r="D17" s="5">
        <f>SUMIF('ROTEIRO LUCAS'!$B$2:$B$299,$B17,'ROTEIRO LUCAS'!$N$2:$N$299)+SUMIF('ROTEIRO ALEXANDRE'!$B$2:$B$320,$B17,'ROTEIRO ALEXANDRE'!$N$2:$N$320)</f>
        <v>76</v>
      </c>
      <c r="E17" s="5">
        <f t="shared" si="3"/>
        <v>18</v>
      </c>
      <c r="F17" s="5" t="str">
        <f t="shared" si="2"/>
        <v>OK</v>
      </c>
    </row>
    <row r="18">
      <c r="B18" s="5" t="str">
        <f>INDUSTRIA!A13</f>
        <v>KING</v>
      </c>
      <c r="C18" s="6">
        <v>530.0</v>
      </c>
      <c r="D18" s="5">
        <f>SUMIF('ROTEIRO LUCAS'!$B$2:$B$299,$B18,'ROTEIRO LUCAS'!$N$2:$N$299)+SUMIF('ROTEIRO ALEXANDRE'!$B$2:$B$320,$B18,'ROTEIRO ALEXANDRE'!$N$2:$N$320)</f>
        <v>264</v>
      </c>
      <c r="E18" s="5">
        <f t="shared" si="3"/>
        <v>-266</v>
      </c>
      <c r="F18" s="5" t="str">
        <f t="shared" si="2"/>
        <v>ABAIXO DO CONTRATADO</v>
      </c>
    </row>
    <row r="19">
      <c r="B19" s="5" t="str">
        <f>INDUSTRIA!A14</f>
        <v>MANTIQUEIRA</v>
      </c>
      <c r="C19" s="6">
        <v>28.0</v>
      </c>
      <c r="D19" s="5">
        <f>SUMIF('ROTEIRO LUCAS'!$B$2:$B$299,$B19,'ROTEIRO LUCAS'!$N$2:$N$299)+SUMIF('ROTEIRO ALEXANDRE'!$B$2:$B$320,$B19,'ROTEIRO ALEXANDRE'!$N$2:$N$320)</f>
        <v>28</v>
      </c>
      <c r="E19" s="5">
        <f t="shared" si="3"/>
        <v>0</v>
      </c>
      <c r="F19" s="5" t="str">
        <f t="shared" si="2"/>
        <v>OK</v>
      </c>
    </row>
    <row r="20">
      <c r="B20" s="5" t="str">
        <f>INDUSTRIA!A15</f>
        <v>MEDFIO</v>
      </c>
      <c r="C20" s="6">
        <v>36.0</v>
      </c>
      <c r="D20" s="5">
        <f>SUMIF('ROTEIRO LUCAS'!$B$2:$B$299,$B20,'ROTEIRO LUCAS'!$N$2:$N$299)+SUMIF('ROTEIRO ALEXANDRE'!$B$2:$B$320,$B20,'ROTEIRO ALEXANDRE'!$N$2:$N$320)</f>
        <v>0</v>
      </c>
      <c r="E20" s="5">
        <f t="shared" si="3"/>
        <v>-36</v>
      </c>
      <c r="F20" s="5" t="str">
        <f t="shared" si="2"/>
        <v>ABAIXO DO CONTRATADO</v>
      </c>
    </row>
    <row r="21">
      <c r="B21" s="5" t="str">
        <f>INDUSTRIA!A16</f>
        <v>MENDEZ</v>
      </c>
      <c r="C21" s="6">
        <v>40.0</v>
      </c>
      <c r="D21" s="5">
        <f>SUMIF('ROTEIRO LUCAS'!$B$2:$B$299,$B21,'ROTEIRO LUCAS'!$N$2:$N$299)+SUMIF('ROTEIRO ALEXANDRE'!$B$2:$B$320,$B21,'ROTEIRO ALEXANDRE'!$N$2:$N$320)</f>
        <v>4</v>
      </c>
      <c r="E21" s="5">
        <f t="shared" si="3"/>
        <v>-36</v>
      </c>
      <c r="F21" s="5" t="str">
        <f t="shared" si="2"/>
        <v>ABAIXO DO CONTRATADO</v>
      </c>
    </row>
    <row r="22">
      <c r="B22" s="5" t="str">
        <f>INDUSTRIA!A17</f>
        <v>MISSIATO</v>
      </c>
      <c r="C22" s="6">
        <v>64.0</v>
      </c>
      <c r="D22" s="5">
        <f>SUMIF('ROTEIRO LUCAS'!$B$2:$B$299,$B22,'ROTEIRO LUCAS'!$N$2:$N$299)+SUMIF('ROTEIRO ALEXANDRE'!$B$2:$B$320,$B22,'ROTEIRO ALEXANDRE'!$N$2:$N$320)</f>
        <v>12</v>
      </c>
      <c r="E22" s="5">
        <f t="shared" si="3"/>
        <v>-52</v>
      </c>
      <c r="F22" s="5" t="str">
        <f t="shared" si="2"/>
        <v>ABAIXO DO CONTRATADO</v>
      </c>
    </row>
    <row r="23">
      <c r="B23" s="5" t="str">
        <f>INDUSTRIA!A18</f>
        <v>PAMPLONA</v>
      </c>
      <c r="C23" s="6">
        <v>372.0</v>
      </c>
      <c r="D23" s="5">
        <f>SUMIF('ROTEIRO LUCAS'!$B$2:$B$299,$B23,'ROTEIRO LUCAS'!$N$2:$N$299)+SUMIF('ROTEIRO ALEXANDRE'!$B$2:$B$320,$B23,'ROTEIRO ALEXANDRE'!$N$2:$N$320)</f>
        <v>252</v>
      </c>
      <c r="E23" s="5">
        <f t="shared" si="3"/>
        <v>-120</v>
      </c>
      <c r="F23" s="5" t="str">
        <f t="shared" si="2"/>
        <v>ABAIXO DO CONTRATADO</v>
      </c>
    </row>
    <row r="24">
      <c r="B24" s="5" t="str">
        <f>INDUSTRIA!A19</f>
        <v>PACHA ALIMENTOS</v>
      </c>
      <c r="C24" s="6">
        <v>348.0</v>
      </c>
      <c r="D24" s="5">
        <f>SUMIF('ROTEIRO LUCAS'!$B$2:$B$299,$B24,'ROTEIRO LUCAS'!$N$2:$N$299)+SUMIF('ROTEIRO ALEXANDRE'!$B$2:$B$320,$B24,'ROTEIRO ALEXANDRE'!$N$2:$N$320)</f>
        <v>156</v>
      </c>
      <c r="E24" s="5">
        <f t="shared" si="3"/>
        <v>-192</v>
      </c>
      <c r="F24" s="5" t="str">
        <f t="shared" si="2"/>
        <v>ABAIXO DO CONTRATADO</v>
      </c>
    </row>
    <row r="25">
      <c r="B25" s="5" t="str">
        <f>INDUSTRIA!A20</f>
        <v>PIRACANJUBA</v>
      </c>
      <c r="C25" s="6">
        <v>16.0</v>
      </c>
      <c r="D25" s="5">
        <f>SUMIF('ROTEIRO LUCAS'!$B$2:$B$299,$B25,'ROTEIRO LUCAS'!$N$2:$N$299)+SUMIF('ROTEIRO ALEXANDRE'!$B$2:$B$320,$B25,'ROTEIRO ALEXANDRE'!$N$2:$N$320)</f>
        <v>0</v>
      </c>
      <c r="E25" s="5">
        <f t="shared" si="3"/>
        <v>-16</v>
      </c>
      <c r="F25" s="5" t="str">
        <f t="shared" si="2"/>
        <v>ABAIXO DO CONTRATADO</v>
      </c>
    </row>
    <row r="26">
      <c r="B26" s="5" t="str">
        <f>INDUSTRIA!A21</f>
        <v>SÃO BRAZ</v>
      </c>
      <c r="C26" s="6">
        <v>168.0</v>
      </c>
      <c r="D26" s="5">
        <f>SUMIF('ROTEIRO LUCAS'!$B$2:$B$299,$B26,'ROTEIRO LUCAS'!$N$2:$N$299)+SUMIF('ROTEIRO ALEXANDRE'!$B$2:$B$320,$B26,'ROTEIRO ALEXANDRE'!$N$2:$N$320)</f>
        <v>132</v>
      </c>
      <c r="E26" s="5">
        <f t="shared" si="3"/>
        <v>-36</v>
      </c>
      <c r="F26" s="5" t="str">
        <f t="shared" si="2"/>
        <v>ABAIXO DO CONTRATADO</v>
      </c>
    </row>
    <row r="27">
      <c r="B27" s="5" t="str">
        <f>INDUSTRIA!A22</f>
        <v>SELETA</v>
      </c>
      <c r="C27" s="6">
        <v>76.0</v>
      </c>
      <c r="D27" s="5">
        <f>SUMIF('ROTEIRO LUCAS'!$B$2:$B$299,$B27,'ROTEIRO LUCAS'!$N$2:$N$299)+SUMIF('ROTEIRO ALEXANDRE'!$B$2:$B$320,$B27,'ROTEIRO ALEXANDRE'!$N$2:$N$320)</f>
        <v>148</v>
      </c>
      <c r="E27" s="5">
        <f t="shared" si="3"/>
        <v>72</v>
      </c>
      <c r="F27" s="5" t="str">
        <f t="shared" si="2"/>
        <v>OK</v>
      </c>
    </row>
    <row r="28">
      <c r="B28" s="5" t="str">
        <f>INDUSTRIA!A23</f>
        <v>TERMOLAR</v>
      </c>
      <c r="C28" s="6">
        <v>196.0</v>
      </c>
      <c r="D28" s="5">
        <f>SUMIF('ROTEIRO LUCAS'!$B$2:$B$299,$B28,'ROTEIRO LUCAS'!$N$2:$N$299)+SUMIF('ROTEIRO ALEXANDRE'!$B$2:$B$320,$B28,'ROTEIRO ALEXANDRE'!$N$2:$N$320)</f>
        <v>92</v>
      </c>
      <c r="E28" s="5">
        <f t="shared" si="3"/>
        <v>-104</v>
      </c>
      <c r="F28" s="5" t="str">
        <f t="shared" si="2"/>
        <v>ABAIXO DO CONTRATADO</v>
      </c>
    </row>
    <row r="29">
      <c r="B29" s="5" t="str">
        <f>INDUSTRIA!A24</f>
        <v>EMBAVI</v>
      </c>
      <c r="C29" s="6">
        <v>228.0</v>
      </c>
      <c r="D29" s="5">
        <f>SUMIF('ROTEIRO LUCAS'!$B$2:$B$299,$B29,'ROTEIRO LUCAS'!$N$2:$N$299)+SUMIF('ROTEIRO ALEXANDRE'!$B$2:$B$320,$B29,'ROTEIRO ALEXANDRE'!$N$2:$N$320)</f>
        <v>116</v>
      </c>
      <c r="E29" s="5">
        <f t="shared" si="3"/>
        <v>-112</v>
      </c>
      <c r="F29" s="5" t="str">
        <f t="shared" si="2"/>
        <v>ABAIXO DO CONTRATADO</v>
      </c>
    </row>
    <row r="30">
      <c r="B30" s="5" t="str">
        <f>INDUSTRIA!A25</f>
        <v>OXFORD</v>
      </c>
      <c r="C30" s="6">
        <v>40.0</v>
      </c>
      <c r="D30" s="5">
        <f>SUMIF('ROTEIRO LUCAS'!$B$2:$B$299,$B30,'ROTEIRO LUCAS'!$N$2:$N$299)+SUMIF('ROTEIRO ALEXANDRE'!$B$2:$B$320,$B30,'ROTEIRO ALEXANDRE'!$N$2:$N$320)</f>
        <v>20</v>
      </c>
      <c r="E30" s="5">
        <f t="shared" si="3"/>
        <v>-20</v>
      </c>
      <c r="F30" s="5" t="str">
        <f t="shared" si="2"/>
        <v>ABAIXO DO CONTRATADO</v>
      </c>
    </row>
    <row r="31">
      <c r="B31" s="5" t="str">
        <f>INDUSTRIA!A26</f>
        <v>APYCE</v>
      </c>
      <c r="C31" s="6">
        <v>100.0</v>
      </c>
      <c r="D31" s="5">
        <f>SUMIF('ROTEIRO LUCAS'!$B$2:$B$299,$B31,'ROTEIRO LUCAS'!$N$2:$N$299)+SUMIF('ROTEIRO ALEXANDRE'!$B$2:$B$320,$B31,'ROTEIRO ALEXANDRE'!$N$2:$N$320)</f>
        <v>116</v>
      </c>
      <c r="E31" s="5">
        <f t="shared" si="3"/>
        <v>16</v>
      </c>
      <c r="F31" s="5" t="str">
        <f t="shared" si="2"/>
        <v>OK</v>
      </c>
    </row>
    <row r="32">
      <c r="B32" s="5" t="str">
        <f>INDUSTRIA!A27</f>
        <v>CHULETÃO</v>
      </c>
    </row>
    <row r="33">
      <c r="B33" s="5" t="str">
        <f>INDUSTRIA!A28</f>
        <v/>
      </c>
    </row>
    <row r="34">
      <c r="B34" s="5" t="str">
        <f>INDUSTRIA!A28</f>
        <v/>
      </c>
    </row>
    <row r="35">
      <c r="B35" s="5" t="str">
        <f>INDUSTRIA!A29</f>
        <v/>
      </c>
    </row>
    <row r="36">
      <c r="B36" s="5" t="str">
        <f>INDUSTRIA!A29</f>
        <v/>
      </c>
    </row>
    <row r="37">
      <c r="B37" s="5" t="str">
        <f>INDUSTRIA!A30</f>
        <v/>
      </c>
    </row>
  </sheetData>
  <conditionalFormatting sqref="F9">
    <cfRule type="colorScale" priority="1">
      <colorScale>
        <cfvo type="min"/>
        <cfvo type="max"/>
        <color rgb="FFFF0000"/>
        <color rgb="FF22C55E"/>
      </colorScale>
    </cfRule>
  </conditionalFormatting>
  <conditionalFormatting sqref="F7:F31">
    <cfRule type="cellIs" dxfId="0" priority="2" operator="lessThanOrEqual">
      <formula>"ABAIXO DO CONTRATO"</formula>
    </cfRule>
  </conditionalFormatting>
  <conditionalFormatting sqref="F7:F31">
    <cfRule type="cellIs" dxfId="1" priority="3" operator="lessThanOrEqual">
      <formula>"OK"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44.38"/>
    <col customWidth="1" min="3" max="3" width="37.63"/>
    <col customWidth="1" min="4" max="6" width="12.63"/>
  </cols>
  <sheetData>
    <row r="1" ht="15.75" customHeight="1">
      <c r="A1" s="10" t="s">
        <v>251</v>
      </c>
      <c r="B1" s="10" t="s">
        <v>252</v>
      </c>
      <c r="C1" s="18" t="s">
        <v>253</v>
      </c>
      <c r="D1" s="7" t="s">
        <v>254</v>
      </c>
      <c r="E1" s="7" t="s">
        <v>255</v>
      </c>
      <c r="F1" s="7" t="s">
        <v>256</v>
      </c>
    </row>
    <row r="2" ht="15.75" customHeight="1">
      <c r="A2" s="19">
        <v>39.0</v>
      </c>
      <c r="B2" s="20" t="s">
        <v>257</v>
      </c>
      <c r="C2" s="21"/>
      <c r="D2" s="22">
        <f>+556183110460</f>
        <v>556183110460</v>
      </c>
    </row>
    <row r="3" ht="15.75" customHeight="1">
      <c r="A3" s="23">
        <v>37.0</v>
      </c>
      <c r="B3" s="24" t="s">
        <v>258</v>
      </c>
      <c r="C3" s="25"/>
      <c r="D3" s="22">
        <f>+556182177307</f>
        <v>556182177307</v>
      </c>
    </row>
    <row r="4" ht="15.75" customHeight="1">
      <c r="A4" s="23">
        <v>65.0</v>
      </c>
      <c r="B4" s="24" t="s">
        <v>178</v>
      </c>
      <c r="C4" s="21" t="s">
        <v>259</v>
      </c>
      <c r="D4" s="22">
        <f>+556198011855</f>
        <v>556198011855</v>
      </c>
    </row>
    <row r="5" ht="15.75" customHeight="1">
      <c r="A5" s="23">
        <v>1.0</v>
      </c>
      <c r="B5" s="24" t="s">
        <v>196</v>
      </c>
      <c r="C5" s="21" t="s">
        <v>260</v>
      </c>
      <c r="D5" s="22">
        <f>+556193828554</f>
        <v>556193828554</v>
      </c>
    </row>
    <row r="6" ht="15.75" customHeight="1">
      <c r="A6" s="23">
        <v>54.0</v>
      </c>
      <c r="B6" s="24" t="s">
        <v>225</v>
      </c>
      <c r="C6" s="21" t="s">
        <v>261</v>
      </c>
      <c r="D6" s="22">
        <f>+556195847193</f>
        <v>556195847193</v>
      </c>
    </row>
    <row r="7" ht="15.75" customHeight="1">
      <c r="A7" s="23">
        <v>2.0</v>
      </c>
      <c r="B7" s="24" t="s">
        <v>189</v>
      </c>
      <c r="C7" s="21" t="s">
        <v>262</v>
      </c>
      <c r="D7" s="22">
        <f>+556193123343</f>
        <v>556193123343</v>
      </c>
    </row>
    <row r="8" ht="15.75" customHeight="1">
      <c r="A8" s="23">
        <v>8.0</v>
      </c>
      <c r="B8" s="24" t="s">
        <v>216</v>
      </c>
      <c r="C8" s="21" t="s">
        <v>263</v>
      </c>
      <c r="D8" s="22">
        <f>+556181054165</f>
        <v>556181054165</v>
      </c>
    </row>
    <row r="9" ht="15.75" customHeight="1">
      <c r="A9" s="23">
        <v>3.0</v>
      </c>
      <c r="B9" s="24" t="s">
        <v>68</v>
      </c>
      <c r="C9" s="21" t="s">
        <v>264</v>
      </c>
      <c r="D9" s="22">
        <f>+556195182536</f>
        <v>556195182536</v>
      </c>
    </row>
    <row r="10" ht="15.75" customHeight="1">
      <c r="A10" s="23">
        <v>4.0</v>
      </c>
      <c r="B10" s="24" t="s">
        <v>229</v>
      </c>
      <c r="C10" s="21" t="s">
        <v>265</v>
      </c>
      <c r="D10" s="22">
        <f>+556193394605</f>
        <v>556193394605</v>
      </c>
    </row>
    <row r="11" ht="15.75" customHeight="1">
      <c r="A11" s="23">
        <v>45.0</v>
      </c>
      <c r="B11" s="24" t="s">
        <v>266</v>
      </c>
      <c r="C11" s="25"/>
      <c r="D11" s="22">
        <f>+556182529308</f>
        <v>556182529308</v>
      </c>
    </row>
    <row r="12" ht="15.75" customHeight="1">
      <c r="A12" s="23">
        <v>12.0</v>
      </c>
      <c r="B12" s="24" t="s">
        <v>267</v>
      </c>
      <c r="C12" s="21" t="s">
        <v>268</v>
      </c>
      <c r="D12" s="22">
        <f>+556181980238</f>
        <v>556181980238</v>
      </c>
    </row>
    <row r="13" ht="15.75" customHeight="1">
      <c r="A13" s="23">
        <v>7.0</v>
      </c>
      <c r="B13" s="24" t="s">
        <v>208</v>
      </c>
      <c r="C13" s="21" t="s">
        <v>269</v>
      </c>
      <c r="D13" s="22">
        <f>+556191008170</f>
        <v>556191008170</v>
      </c>
    </row>
    <row r="14" ht="15.75" customHeight="1">
      <c r="A14" s="23">
        <v>44.0</v>
      </c>
      <c r="B14" s="24" t="s">
        <v>270</v>
      </c>
      <c r="C14" s="21" t="s">
        <v>271</v>
      </c>
      <c r="D14" s="22">
        <f>+556196290083</f>
        <v>556196290083</v>
      </c>
    </row>
    <row r="15" ht="15.75" customHeight="1">
      <c r="A15" s="26">
        <v>38.0</v>
      </c>
      <c r="B15" s="27" t="s">
        <v>272</v>
      </c>
      <c r="C15" s="21" t="s">
        <v>273</v>
      </c>
      <c r="D15" s="22">
        <f>+556292627000</f>
        <v>556292627000</v>
      </c>
    </row>
    <row r="16" ht="15.75" customHeight="1">
      <c r="A16" s="19">
        <v>17.0</v>
      </c>
      <c r="B16" s="27" t="s">
        <v>75</v>
      </c>
      <c r="C16" s="21" t="s">
        <v>273</v>
      </c>
      <c r="D16" s="22">
        <f>+5562993380899</f>
        <v>5562993380899</v>
      </c>
    </row>
    <row r="17" ht="15.75" customHeight="1">
      <c r="A17" s="19">
        <v>24.0</v>
      </c>
      <c r="B17" s="27" t="s">
        <v>25</v>
      </c>
      <c r="C17" s="21" t="s">
        <v>273</v>
      </c>
      <c r="D17" s="22">
        <f>+556294700104</f>
        <v>556294700104</v>
      </c>
    </row>
    <row r="18" ht="15.75" customHeight="1">
      <c r="A18" s="19">
        <v>18.0</v>
      </c>
      <c r="B18" s="27" t="s">
        <v>108</v>
      </c>
      <c r="C18" s="21" t="s">
        <v>273</v>
      </c>
      <c r="D18" s="22">
        <f>+5562995737803</f>
        <v>5562995737803</v>
      </c>
    </row>
    <row r="19" ht="15.75" customHeight="1">
      <c r="A19" s="19">
        <v>19.0</v>
      </c>
      <c r="B19" s="27" t="s">
        <v>135</v>
      </c>
      <c r="C19" s="21" t="s">
        <v>274</v>
      </c>
      <c r="D19" s="22">
        <f>+5562983295210</f>
        <v>5562983295210</v>
      </c>
    </row>
    <row r="20" ht="15.75" customHeight="1">
      <c r="A20" s="19">
        <v>126.0</v>
      </c>
      <c r="B20" s="27" t="s">
        <v>70</v>
      </c>
      <c r="C20" s="21" t="s">
        <v>273</v>
      </c>
      <c r="D20" s="22">
        <f>+5562981721490</f>
        <v>5562981721490</v>
      </c>
    </row>
    <row r="21" ht="15.75" customHeight="1">
      <c r="A21" s="19">
        <v>15.0</v>
      </c>
      <c r="B21" s="27" t="s">
        <v>62</v>
      </c>
      <c r="C21" s="21" t="s">
        <v>273</v>
      </c>
      <c r="D21" s="22">
        <f>+5562991779416</f>
        <v>5562991779416</v>
      </c>
    </row>
    <row r="22" ht="15.75" customHeight="1">
      <c r="A22" s="19">
        <v>36.0</v>
      </c>
      <c r="B22" s="27" t="s">
        <v>275</v>
      </c>
      <c r="C22" s="21" t="s">
        <v>273</v>
      </c>
      <c r="D22" s="22">
        <f>+556291234123</f>
        <v>556291234123</v>
      </c>
    </row>
    <row r="23" ht="15.75" customHeight="1">
      <c r="A23" s="19">
        <v>23.0</v>
      </c>
      <c r="B23" s="27" t="s">
        <v>45</v>
      </c>
      <c r="C23" s="21" t="s">
        <v>273</v>
      </c>
      <c r="D23" s="22">
        <f>+556295045351</f>
        <v>556295045351</v>
      </c>
    </row>
    <row r="24" ht="15.75" customHeight="1">
      <c r="A24" s="19">
        <v>29.0</v>
      </c>
      <c r="B24" s="27" t="s">
        <v>276</v>
      </c>
      <c r="C24" s="21" t="s">
        <v>277</v>
      </c>
      <c r="D24" s="22">
        <f>+5564996929742</f>
        <v>5564996929742</v>
      </c>
    </row>
    <row r="25" ht="15.75" customHeight="1">
      <c r="A25" s="19">
        <v>55.0</v>
      </c>
      <c r="B25" s="27" t="s">
        <v>278</v>
      </c>
      <c r="C25" s="21" t="s">
        <v>279</v>
      </c>
      <c r="D25" s="22">
        <f>+556493070171</f>
        <v>556493070171</v>
      </c>
    </row>
    <row r="26" ht="15.75" customHeight="1">
      <c r="A26" s="19">
        <v>25.0</v>
      </c>
      <c r="B26" s="27" t="s">
        <v>280</v>
      </c>
      <c r="C26" s="21" t="s">
        <v>281</v>
      </c>
      <c r="D26" s="22">
        <f>+556492682963</f>
        <v>556492682963</v>
      </c>
    </row>
    <row r="27" ht="15.75" customHeight="1">
      <c r="A27" s="19">
        <v>16.0</v>
      </c>
      <c r="B27" s="27" t="s">
        <v>146</v>
      </c>
      <c r="C27" s="21" t="s">
        <v>282</v>
      </c>
      <c r="D27" s="22">
        <f>+5562994414211</f>
        <v>5562994414211</v>
      </c>
    </row>
    <row r="28" ht="15.75" customHeight="1">
      <c r="A28" s="19">
        <v>22.0</v>
      </c>
      <c r="B28" s="27" t="s">
        <v>101</v>
      </c>
      <c r="C28" s="21"/>
      <c r="D28" s="22">
        <f>+556292519929</f>
        <v>556292519929</v>
      </c>
    </row>
    <row r="29" ht="15.75" customHeight="1">
      <c r="A29" s="19">
        <v>26.0</v>
      </c>
      <c r="B29" s="27" t="s">
        <v>121</v>
      </c>
      <c r="C29" s="21" t="s">
        <v>282</v>
      </c>
      <c r="D29" s="22">
        <f>+556291570770</f>
        <v>556291570770</v>
      </c>
    </row>
    <row r="30" ht="15.75" customHeight="1">
      <c r="A30" s="19">
        <v>21.0</v>
      </c>
      <c r="B30" s="27" t="s">
        <v>283</v>
      </c>
      <c r="C30" s="21" t="s">
        <v>284</v>
      </c>
      <c r="D30" s="22">
        <f>+556492676362</f>
        <v>556492676362</v>
      </c>
    </row>
    <row r="31" ht="15.75" customHeight="1">
      <c r="A31" s="19">
        <v>28.0</v>
      </c>
      <c r="B31" s="27" t="s">
        <v>99</v>
      </c>
      <c r="C31" s="21" t="s">
        <v>285</v>
      </c>
      <c r="D31" s="22">
        <f>+5564993432324</f>
        <v>5564993432324</v>
      </c>
    </row>
    <row r="32" ht="15.75" customHeight="1">
      <c r="B32" s="28" t="s">
        <v>286</v>
      </c>
      <c r="C32" s="25"/>
      <c r="D32" s="22">
        <f>+556493275027</f>
        <v>556493275027</v>
      </c>
    </row>
    <row r="33" ht="15.75" customHeight="1">
      <c r="A33" s="29">
        <v>723.0</v>
      </c>
      <c r="B33" s="28" t="s">
        <v>287</v>
      </c>
      <c r="C33" s="30" t="s">
        <v>288</v>
      </c>
      <c r="D33" s="22">
        <f>+556292067536</f>
        <v>556292067536</v>
      </c>
    </row>
    <row r="34" ht="15.75" customHeight="1">
      <c r="A34" s="29">
        <v>60.0</v>
      </c>
      <c r="B34" s="28" t="s">
        <v>88</v>
      </c>
      <c r="C34" s="30" t="s">
        <v>273</v>
      </c>
      <c r="D34" s="22">
        <f>+556291327718</f>
        <v>556291327718</v>
      </c>
    </row>
    <row r="35" ht="15.75" customHeight="1">
      <c r="A35" s="31">
        <v>30.0</v>
      </c>
      <c r="B35" s="32" t="s">
        <v>59</v>
      </c>
      <c r="C35" s="33" t="s">
        <v>289</v>
      </c>
      <c r="D35" s="22">
        <f>+556391050813</f>
        <v>556391050813</v>
      </c>
    </row>
    <row r="36" ht="15.75" customHeight="1">
      <c r="A36" s="31">
        <v>31.0</v>
      </c>
      <c r="B36" s="27" t="s">
        <v>92</v>
      </c>
      <c r="C36" s="33" t="s">
        <v>290</v>
      </c>
      <c r="D36" s="22">
        <f>+556391178695</f>
        <v>556391178695</v>
      </c>
    </row>
    <row r="37" ht="15.75" customHeight="1">
      <c r="A37" s="31">
        <v>50.0</v>
      </c>
      <c r="B37" s="27" t="s">
        <v>291</v>
      </c>
      <c r="C37" s="34" t="s">
        <v>292</v>
      </c>
      <c r="D37" s="22">
        <f>+556692188888</f>
        <v>556692188888</v>
      </c>
    </row>
    <row r="38" ht="15.75" customHeight="1">
      <c r="A38" s="31">
        <v>34.0</v>
      </c>
      <c r="B38" s="27" t="s">
        <v>293</v>
      </c>
      <c r="C38" s="34" t="s">
        <v>294</v>
      </c>
      <c r="D38" s="22">
        <f>+556692270687</f>
        <v>556692270687</v>
      </c>
    </row>
    <row r="39" ht="15.75" customHeight="1">
      <c r="A39" s="31">
        <v>64.0</v>
      </c>
      <c r="B39" s="27" t="s">
        <v>295</v>
      </c>
      <c r="C39" s="34" t="s">
        <v>296</v>
      </c>
      <c r="D39" s="22">
        <f>+556699008027</f>
        <v>556699008027</v>
      </c>
    </row>
    <row r="40" ht="15.75" customHeight="1">
      <c r="A40" s="31">
        <v>62.0</v>
      </c>
      <c r="B40" s="27" t="s">
        <v>138</v>
      </c>
      <c r="C40" s="35" t="s">
        <v>297</v>
      </c>
      <c r="D40" s="22">
        <f>+556592377672</f>
        <v>556592377672</v>
      </c>
    </row>
    <row r="41" ht="15.75" customHeight="1">
      <c r="A41" s="31">
        <v>61.0</v>
      </c>
      <c r="B41" s="27" t="s">
        <v>298</v>
      </c>
      <c r="C41" s="30" t="s">
        <v>299</v>
      </c>
      <c r="D41" s="22">
        <f>+556798546381</f>
        <v>556798546381</v>
      </c>
    </row>
    <row r="42" ht="15.75" customHeight="1">
      <c r="A42" s="31">
        <v>33.0</v>
      </c>
      <c r="B42" s="27" t="s">
        <v>16</v>
      </c>
      <c r="C42" s="30" t="s">
        <v>300</v>
      </c>
      <c r="D42" s="22">
        <f>+556793449807</f>
        <v>556793449807</v>
      </c>
    </row>
    <row r="43" ht="15.75" customHeight="1">
      <c r="A43" s="31">
        <v>6.0</v>
      </c>
      <c r="B43" s="32" t="s">
        <v>301</v>
      </c>
      <c r="C43" s="34" t="s">
        <v>302</v>
      </c>
      <c r="D43" s="22">
        <f>+557799028012</f>
        <v>557799028012</v>
      </c>
    </row>
    <row r="44" ht="15.75" customHeight="1">
      <c r="B44" s="32" t="s">
        <v>303</v>
      </c>
      <c r="C44" s="34" t="s">
        <v>304</v>
      </c>
      <c r="D44" s="22">
        <v>5.561992910841E12</v>
      </c>
    </row>
    <row r="45" ht="15.75" customHeight="1">
      <c r="A45" s="32">
        <v>68.0</v>
      </c>
      <c r="B45" s="32" t="s">
        <v>236</v>
      </c>
      <c r="C45" s="32" t="s">
        <v>305</v>
      </c>
      <c r="D45" s="36">
        <v>5.561981467554E12</v>
      </c>
    </row>
    <row r="46" ht="15.75" customHeight="1">
      <c r="A46" s="32">
        <v>65.0</v>
      </c>
      <c r="B46" s="32" t="s">
        <v>306</v>
      </c>
      <c r="C46" s="37" t="s">
        <v>307</v>
      </c>
      <c r="D46" s="37">
        <v>5.561981646796E12</v>
      </c>
    </row>
    <row r="47" ht="15.75" customHeight="1">
      <c r="A47" s="32">
        <v>1.0</v>
      </c>
      <c r="B47" s="32" t="s">
        <v>241</v>
      </c>
      <c r="C47" s="37" t="s">
        <v>308</v>
      </c>
      <c r="D47" s="37">
        <v>5.56182109529E11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2" width="55.0"/>
    <col customWidth="1" min="3" max="6" width="12.63"/>
  </cols>
  <sheetData>
    <row r="1" ht="15.75" customHeight="1">
      <c r="A1" s="38" t="s">
        <v>309</v>
      </c>
      <c r="B1" s="38" t="s">
        <v>1</v>
      </c>
      <c r="C1" s="39" t="s">
        <v>2</v>
      </c>
    </row>
    <row r="2" ht="15.75" customHeight="1">
      <c r="A2" s="40" t="s">
        <v>310</v>
      </c>
      <c r="B2" s="40" t="s">
        <v>311</v>
      </c>
      <c r="C2" s="41" t="s">
        <v>312</v>
      </c>
    </row>
    <row r="3" ht="15.75" customHeight="1">
      <c r="A3" s="40" t="s">
        <v>313</v>
      </c>
      <c r="B3" s="40" t="s">
        <v>314</v>
      </c>
      <c r="C3" s="41" t="s">
        <v>177</v>
      </c>
    </row>
    <row r="4" ht="15.75" customHeight="1">
      <c r="A4" s="40" t="s">
        <v>313</v>
      </c>
      <c r="B4" s="40" t="s">
        <v>315</v>
      </c>
      <c r="C4" s="41" t="s">
        <v>177</v>
      </c>
    </row>
    <row r="5" ht="15.75" customHeight="1">
      <c r="A5" s="40" t="s">
        <v>313</v>
      </c>
      <c r="B5" s="40" t="s">
        <v>240</v>
      </c>
      <c r="C5" s="41" t="s">
        <v>177</v>
      </c>
    </row>
    <row r="6" ht="15.75" customHeight="1">
      <c r="A6" s="40" t="s">
        <v>313</v>
      </c>
      <c r="B6" s="40" t="s">
        <v>198</v>
      </c>
      <c r="C6" s="41" t="s">
        <v>177</v>
      </c>
    </row>
    <row r="7" ht="15.75" customHeight="1">
      <c r="A7" s="40" t="s">
        <v>313</v>
      </c>
      <c r="B7" s="40" t="s">
        <v>238</v>
      </c>
      <c r="C7" s="41" t="s">
        <v>177</v>
      </c>
    </row>
    <row r="8" ht="15.75" customHeight="1">
      <c r="A8" s="40" t="s">
        <v>313</v>
      </c>
      <c r="B8" s="40" t="s">
        <v>235</v>
      </c>
      <c r="C8" s="41" t="s">
        <v>177</v>
      </c>
    </row>
    <row r="9" ht="15.75" customHeight="1">
      <c r="A9" s="40" t="s">
        <v>313</v>
      </c>
      <c r="B9" s="40" t="s">
        <v>227</v>
      </c>
      <c r="C9" s="41" t="s">
        <v>177</v>
      </c>
    </row>
    <row r="10" ht="15.75" customHeight="1">
      <c r="A10" s="40" t="s">
        <v>313</v>
      </c>
      <c r="B10" s="40" t="s">
        <v>220</v>
      </c>
      <c r="C10" s="41" t="s">
        <v>177</v>
      </c>
    </row>
    <row r="11" ht="15.75" customHeight="1">
      <c r="A11" s="40" t="s">
        <v>316</v>
      </c>
      <c r="B11" s="40" t="s">
        <v>317</v>
      </c>
      <c r="C11" s="41" t="s">
        <v>177</v>
      </c>
    </row>
    <row r="12" ht="15.75" customHeight="1">
      <c r="A12" s="40" t="s">
        <v>316</v>
      </c>
      <c r="B12" s="40" t="s">
        <v>318</v>
      </c>
      <c r="C12" s="41" t="s">
        <v>177</v>
      </c>
    </row>
    <row r="13" ht="15.75" customHeight="1">
      <c r="A13" s="40" t="s">
        <v>316</v>
      </c>
      <c r="B13" s="40" t="s">
        <v>319</v>
      </c>
      <c r="C13" s="41" t="s">
        <v>177</v>
      </c>
    </row>
    <row r="14" ht="15.75" customHeight="1">
      <c r="A14" s="40" t="s">
        <v>316</v>
      </c>
      <c r="B14" s="40" t="s">
        <v>320</v>
      </c>
      <c r="C14" s="41" t="s">
        <v>177</v>
      </c>
    </row>
    <row r="15" ht="15.75" customHeight="1">
      <c r="A15" s="40" t="s">
        <v>316</v>
      </c>
      <c r="B15" s="40" t="s">
        <v>321</v>
      </c>
      <c r="C15" s="41" t="s">
        <v>177</v>
      </c>
    </row>
    <row r="16" ht="15.75" customHeight="1">
      <c r="A16" s="40" t="s">
        <v>316</v>
      </c>
      <c r="B16" s="40" t="s">
        <v>322</v>
      </c>
      <c r="C16" s="41" t="s">
        <v>177</v>
      </c>
    </row>
    <row r="17" ht="15.75" customHeight="1">
      <c r="A17" s="40" t="s">
        <v>316</v>
      </c>
      <c r="B17" s="40" t="s">
        <v>323</v>
      </c>
      <c r="C17" s="41" t="s">
        <v>177</v>
      </c>
    </row>
    <row r="18" ht="15.75" customHeight="1">
      <c r="A18" s="40" t="s">
        <v>316</v>
      </c>
      <c r="B18" s="40" t="s">
        <v>324</v>
      </c>
      <c r="C18" s="41" t="s">
        <v>177</v>
      </c>
    </row>
    <row r="19" ht="15.75" customHeight="1">
      <c r="A19" s="40" t="s">
        <v>316</v>
      </c>
      <c r="B19" s="40" t="s">
        <v>325</v>
      </c>
      <c r="C19" s="41" t="s">
        <v>177</v>
      </c>
    </row>
    <row r="20" ht="15.75" customHeight="1">
      <c r="A20" s="40" t="s">
        <v>316</v>
      </c>
      <c r="B20" s="40" t="s">
        <v>326</v>
      </c>
      <c r="C20" s="41" t="s">
        <v>177</v>
      </c>
    </row>
    <row r="21" ht="15.75" customHeight="1">
      <c r="A21" s="40" t="s">
        <v>316</v>
      </c>
      <c r="B21" s="40" t="s">
        <v>217</v>
      </c>
      <c r="C21" s="41" t="s">
        <v>177</v>
      </c>
    </row>
    <row r="22" ht="15.75" customHeight="1">
      <c r="A22" s="40" t="s">
        <v>148</v>
      </c>
      <c r="B22" s="40" t="s">
        <v>327</v>
      </c>
      <c r="C22" s="41" t="s">
        <v>177</v>
      </c>
    </row>
    <row r="23" ht="15.75" customHeight="1">
      <c r="A23" s="40" t="s">
        <v>148</v>
      </c>
      <c r="B23" s="40" t="s">
        <v>328</v>
      </c>
      <c r="C23" s="41" t="s">
        <v>177</v>
      </c>
    </row>
    <row r="24" ht="15.75" customHeight="1">
      <c r="A24" s="40" t="s">
        <v>148</v>
      </c>
      <c r="B24" s="40" t="s">
        <v>329</v>
      </c>
      <c r="C24" s="41" t="s">
        <v>177</v>
      </c>
    </row>
    <row r="25" ht="15.75" customHeight="1">
      <c r="A25" s="40" t="s">
        <v>148</v>
      </c>
      <c r="B25" s="40" t="s">
        <v>330</v>
      </c>
      <c r="C25" s="41" t="s">
        <v>177</v>
      </c>
    </row>
    <row r="26" ht="15.75" customHeight="1">
      <c r="A26" s="40" t="s">
        <v>148</v>
      </c>
      <c r="B26" s="40" t="s">
        <v>331</v>
      </c>
      <c r="C26" s="41" t="s">
        <v>177</v>
      </c>
    </row>
    <row r="27" ht="15.75" customHeight="1">
      <c r="A27" s="40" t="s">
        <v>148</v>
      </c>
      <c r="B27" s="40" t="s">
        <v>332</v>
      </c>
      <c r="C27" s="41" t="s">
        <v>177</v>
      </c>
    </row>
    <row r="28" ht="15.75" customHeight="1">
      <c r="A28" s="40" t="s">
        <v>148</v>
      </c>
      <c r="B28" s="40" t="s">
        <v>333</v>
      </c>
      <c r="C28" s="41" t="s">
        <v>177</v>
      </c>
    </row>
    <row r="29" ht="15.75" customHeight="1">
      <c r="A29" s="40" t="s">
        <v>148</v>
      </c>
      <c r="B29" s="40" t="s">
        <v>334</v>
      </c>
      <c r="C29" s="41" t="s">
        <v>177</v>
      </c>
    </row>
    <row r="30" ht="15.75" customHeight="1">
      <c r="A30" s="40" t="s">
        <v>148</v>
      </c>
      <c r="B30" s="40" t="s">
        <v>335</v>
      </c>
      <c r="C30" s="41" t="s">
        <v>177</v>
      </c>
    </row>
    <row r="31" ht="15.75" customHeight="1">
      <c r="A31" s="40" t="s">
        <v>148</v>
      </c>
      <c r="B31" s="40" t="s">
        <v>336</v>
      </c>
      <c r="C31" s="41" t="s">
        <v>177</v>
      </c>
    </row>
    <row r="32" ht="15.75" customHeight="1">
      <c r="A32" s="40" t="s">
        <v>148</v>
      </c>
      <c r="B32" s="40" t="s">
        <v>337</v>
      </c>
      <c r="C32" s="41" t="s">
        <v>177</v>
      </c>
    </row>
    <row r="33" ht="15.75" customHeight="1">
      <c r="A33" s="40" t="s">
        <v>338</v>
      </c>
      <c r="B33" s="40" t="s">
        <v>339</v>
      </c>
      <c r="C33" s="41" t="s">
        <v>177</v>
      </c>
    </row>
    <row r="34" ht="15.75" customHeight="1">
      <c r="A34" s="40" t="s">
        <v>338</v>
      </c>
      <c r="B34" s="40" t="s">
        <v>200</v>
      </c>
      <c r="C34" s="41" t="s">
        <v>177</v>
      </c>
    </row>
    <row r="35" ht="15.75" customHeight="1">
      <c r="A35" s="40" t="s">
        <v>338</v>
      </c>
      <c r="B35" s="40" t="s">
        <v>340</v>
      </c>
      <c r="C35" s="41" t="s">
        <v>177</v>
      </c>
    </row>
    <row r="36" ht="15.75" customHeight="1">
      <c r="A36" s="40" t="s">
        <v>338</v>
      </c>
      <c r="B36" s="40" t="s">
        <v>341</v>
      </c>
      <c r="C36" s="41" t="s">
        <v>177</v>
      </c>
    </row>
    <row r="37" ht="15.75" customHeight="1">
      <c r="A37" s="40" t="s">
        <v>338</v>
      </c>
      <c r="B37" s="40" t="s">
        <v>342</v>
      </c>
      <c r="C37" s="41" t="s">
        <v>177</v>
      </c>
    </row>
    <row r="38" ht="15.75" customHeight="1">
      <c r="A38" s="40" t="s">
        <v>343</v>
      </c>
      <c r="B38" s="40" t="s">
        <v>344</v>
      </c>
      <c r="C38" s="41" t="s">
        <v>177</v>
      </c>
    </row>
    <row r="39" ht="15.75" customHeight="1">
      <c r="A39" s="40" t="s">
        <v>343</v>
      </c>
      <c r="B39" s="40" t="s">
        <v>345</v>
      </c>
      <c r="C39" s="41" t="s">
        <v>177</v>
      </c>
    </row>
    <row r="40" ht="15.75" customHeight="1">
      <c r="A40" s="40" t="s">
        <v>343</v>
      </c>
      <c r="B40" s="40" t="s">
        <v>346</v>
      </c>
      <c r="C40" s="41" t="s">
        <v>177</v>
      </c>
    </row>
    <row r="41" ht="15.75" customHeight="1">
      <c r="A41" s="40" t="s">
        <v>343</v>
      </c>
      <c r="B41" s="40" t="s">
        <v>182</v>
      </c>
      <c r="C41" s="41" t="s">
        <v>177</v>
      </c>
    </row>
    <row r="42" ht="15.75" customHeight="1">
      <c r="A42" s="40" t="s">
        <v>343</v>
      </c>
      <c r="B42" s="40" t="s">
        <v>226</v>
      </c>
      <c r="C42" s="41" t="s">
        <v>177</v>
      </c>
    </row>
    <row r="43" ht="15.75" customHeight="1">
      <c r="A43" s="40" t="s">
        <v>343</v>
      </c>
      <c r="B43" s="40" t="s">
        <v>347</v>
      </c>
      <c r="C43" s="41" t="s">
        <v>177</v>
      </c>
    </row>
    <row r="44" ht="15.75" customHeight="1">
      <c r="A44" s="40" t="s">
        <v>343</v>
      </c>
      <c r="B44" s="40" t="s">
        <v>234</v>
      </c>
      <c r="C44" s="41" t="s">
        <v>177</v>
      </c>
    </row>
    <row r="45" ht="15.75" customHeight="1">
      <c r="A45" s="40" t="s">
        <v>343</v>
      </c>
      <c r="B45" s="40" t="s">
        <v>222</v>
      </c>
      <c r="C45" s="41" t="s">
        <v>177</v>
      </c>
    </row>
    <row r="46" ht="15.75" customHeight="1">
      <c r="A46" s="40" t="s">
        <v>310</v>
      </c>
      <c r="B46" s="40" t="s">
        <v>203</v>
      </c>
      <c r="C46" s="41" t="s">
        <v>177</v>
      </c>
    </row>
    <row r="47" ht="15.75" customHeight="1">
      <c r="A47" s="40" t="s">
        <v>310</v>
      </c>
      <c r="B47" s="40" t="s">
        <v>230</v>
      </c>
      <c r="C47" s="41" t="s">
        <v>177</v>
      </c>
    </row>
    <row r="48" ht="15.75" customHeight="1">
      <c r="A48" s="40" t="s">
        <v>310</v>
      </c>
      <c r="B48" s="40" t="s">
        <v>218</v>
      </c>
      <c r="C48" s="41" t="s">
        <v>177</v>
      </c>
    </row>
    <row r="49" ht="15.75" customHeight="1">
      <c r="A49" s="40" t="s">
        <v>310</v>
      </c>
      <c r="B49" s="40" t="s">
        <v>348</v>
      </c>
      <c r="C49" s="41" t="s">
        <v>177</v>
      </c>
    </row>
    <row r="50" ht="15.75" customHeight="1">
      <c r="A50" s="40" t="s">
        <v>310</v>
      </c>
      <c r="B50" s="40" t="s">
        <v>228</v>
      </c>
      <c r="C50" s="41" t="s">
        <v>177</v>
      </c>
    </row>
    <row r="51" ht="15.75" customHeight="1">
      <c r="A51" s="40" t="s">
        <v>310</v>
      </c>
      <c r="B51" s="40" t="s">
        <v>349</v>
      </c>
      <c r="C51" s="41" t="s">
        <v>177</v>
      </c>
    </row>
    <row r="52" ht="15.75" customHeight="1">
      <c r="A52" s="40" t="s">
        <v>310</v>
      </c>
      <c r="B52" s="40" t="s">
        <v>195</v>
      </c>
      <c r="C52" s="41" t="s">
        <v>177</v>
      </c>
    </row>
    <row r="53" ht="15.75" customHeight="1">
      <c r="A53" s="40" t="s">
        <v>310</v>
      </c>
      <c r="B53" s="40" t="s">
        <v>350</v>
      </c>
      <c r="C53" s="41" t="s">
        <v>177</v>
      </c>
    </row>
    <row r="54" ht="15.75" customHeight="1">
      <c r="A54" s="40" t="s">
        <v>310</v>
      </c>
      <c r="B54" s="40" t="s">
        <v>188</v>
      </c>
      <c r="C54" s="41" t="s">
        <v>177</v>
      </c>
    </row>
    <row r="55" ht="15.75" customHeight="1">
      <c r="A55" s="40" t="s">
        <v>310</v>
      </c>
      <c r="B55" s="40" t="s">
        <v>239</v>
      </c>
      <c r="C55" s="41" t="s">
        <v>177</v>
      </c>
    </row>
    <row r="56" ht="15.75" customHeight="1">
      <c r="A56" s="40" t="s">
        <v>310</v>
      </c>
      <c r="B56" s="40" t="s">
        <v>190</v>
      </c>
      <c r="C56" s="41" t="s">
        <v>177</v>
      </c>
    </row>
    <row r="57" ht="15.75" customHeight="1">
      <c r="A57" s="40" t="s">
        <v>310</v>
      </c>
      <c r="B57" s="40" t="s">
        <v>351</v>
      </c>
      <c r="C57" s="41" t="s">
        <v>177</v>
      </c>
    </row>
    <row r="58" ht="15.75" customHeight="1">
      <c r="A58" s="40" t="s">
        <v>310</v>
      </c>
      <c r="B58" s="40" t="s">
        <v>352</v>
      </c>
      <c r="C58" s="41" t="s">
        <v>177</v>
      </c>
    </row>
    <row r="59" ht="15.75" customHeight="1">
      <c r="A59" s="40" t="s">
        <v>310</v>
      </c>
      <c r="B59" s="40" t="s">
        <v>353</v>
      </c>
      <c r="C59" s="41" t="s">
        <v>177</v>
      </c>
    </row>
    <row r="60" ht="15.75" customHeight="1">
      <c r="A60" s="40" t="s">
        <v>310</v>
      </c>
      <c r="B60" s="40" t="s">
        <v>354</v>
      </c>
      <c r="C60" s="41" t="s">
        <v>177</v>
      </c>
    </row>
    <row r="61" ht="15.75" customHeight="1">
      <c r="A61" s="40" t="s">
        <v>310</v>
      </c>
      <c r="B61" s="40" t="s">
        <v>355</v>
      </c>
      <c r="C61" s="41" t="s">
        <v>177</v>
      </c>
    </row>
    <row r="62" ht="15.75" customHeight="1">
      <c r="A62" s="40" t="s">
        <v>310</v>
      </c>
      <c r="B62" s="40" t="s">
        <v>356</v>
      </c>
      <c r="C62" s="41" t="s">
        <v>177</v>
      </c>
    </row>
    <row r="63" ht="15.75" customHeight="1">
      <c r="A63" s="40" t="s">
        <v>310</v>
      </c>
      <c r="B63" s="40" t="s">
        <v>244</v>
      </c>
      <c r="C63" s="41" t="s">
        <v>177</v>
      </c>
    </row>
    <row r="64" ht="15.75" customHeight="1">
      <c r="A64" s="40" t="s">
        <v>310</v>
      </c>
      <c r="B64" s="40" t="s">
        <v>224</v>
      </c>
      <c r="C64" s="41" t="s">
        <v>177</v>
      </c>
    </row>
    <row r="65" ht="15.75" customHeight="1">
      <c r="A65" s="40" t="s">
        <v>310</v>
      </c>
      <c r="B65" s="40" t="s">
        <v>357</v>
      </c>
      <c r="C65" s="41" t="s">
        <v>177</v>
      </c>
    </row>
    <row r="66" ht="15.75" customHeight="1">
      <c r="A66" s="40" t="s">
        <v>310</v>
      </c>
      <c r="B66" s="40" t="s">
        <v>176</v>
      </c>
      <c r="C66" s="41" t="s">
        <v>177</v>
      </c>
    </row>
    <row r="67" ht="15.75" customHeight="1">
      <c r="A67" s="40" t="s">
        <v>310</v>
      </c>
      <c r="B67" s="40" t="s">
        <v>179</v>
      </c>
      <c r="C67" s="41" t="s">
        <v>177</v>
      </c>
    </row>
    <row r="68" ht="15.75" customHeight="1">
      <c r="A68" s="40" t="s">
        <v>358</v>
      </c>
      <c r="B68" s="40" t="s">
        <v>359</v>
      </c>
      <c r="C68" s="41" t="s">
        <v>177</v>
      </c>
    </row>
    <row r="69" ht="15.75" customHeight="1">
      <c r="A69" s="40" t="s">
        <v>360</v>
      </c>
      <c r="B69" s="40" t="s">
        <v>361</v>
      </c>
      <c r="C69" s="41" t="s">
        <v>177</v>
      </c>
    </row>
    <row r="70" ht="15.75" customHeight="1">
      <c r="A70" s="40" t="s">
        <v>360</v>
      </c>
      <c r="B70" s="40" t="s">
        <v>362</v>
      </c>
      <c r="C70" s="41" t="s">
        <v>177</v>
      </c>
    </row>
    <row r="71" ht="15.75" customHeight="1">
      <c r="A71" s="40" t="s">
        <v>360</v>
      </c>
      <c r="B71" s="40" t="s">
        <v>363</v>
      </c>
      <c r="C71" s="41" t="s">
        <v>177</v>
      </c>
    </row>
    <row r="72" ht="15.75" customHeight="1">
      <c r="A72" s="40" t="s">
        <v>360</v>
      </c>
      <c r="B72" s="40" t="s">
        <v>364</v>
      </c>
      <c r="C72" s="41" t="s">
        <v>177</v>
      </c>
    </row>
    <row r="73" ht="15.75" customHeight="1">
      <c r="A73" s="40" t="s">
        <v>365</v>
      </c>
      <c r="B73" s="40" t="s">
        <v>133</v>
      </c>
      <c r="C73" s="41" t="s">
        <v>177</v>
      </c>
    </row>
    <row r="74" ht="15.75" customHeight="1">
      <c r="A74" s="40" t="s">
        <v>366</v>
      </c>
      <c r="B74" s="40" t="s">
        <v>231</v>
      </c>
      <c r="C74" s="41" t="s">
        <v>177</v>
      </c>
    </row>
    <row r="75" ht="15.75" customHeight="1">
      <c r="A75" s="40" t="s">
        <v>367</v>
      </c>
      <c r="B75" s="40" t="s">
        <v>368</v>
      </c>
      <c r="C75" s="41" t="s">
        <v>177</v>
      </c>
    </row>
    <row r="76" ht="15.75" customHeight="1">
      <c r="A76" s="40" t="s">
        <v>369</v>
      </c>
      <c r="B76" s="40" t="s">
        <v>197</v>
      </c>
      <c r="C76" s="41" t="s">
        <v>177</v>
      </c>
    </row>
    <row r="77" ht="15.75" customHeight="1">
      <c r="A77" s="40" t="s">
        <v>369</v>
      </c>
      <c r="B77" s="40" t="s">
        <v>232</v>
      </c>
      <c r="C77" s="41" t="s">
        <v>177</v>
      </c>
    </row>
    <row r="78" ht="15.75" customHeight="1">
      <c r="A78" s="40" t="s">
        <v>369</v>
      </c>
      <c r="B78" s="40" t="s">
        <v>370</v>
      </c>
      <c r="C78" s="41" t="s">
        <v>177</v>
      </c>
    </row>
    <row r="79" ht="15.75" customHeight="1">
      <c r="A79" s="40" t="s">
        <v>369</v>
      </c>
      <c r="B79" s="40" t="s">
        <v>242</v>
      </c>
      <c r="C79" s="41" t="s">
        <v>177</v>
      </c>
    </row>
    <row r="80" ht="15.75" customHeight="1">
      <c r="A80" s="40" t="s">
        <v>369</v>
      </c>
      <c r="B80" s="42" t="s">
        <v>181</v>
      </c>
      <c r="C80" s="41" t="s">
        <v>177</v>
      </c>
    </row>
    <row r="81" ht="15.75" customHeight="1">
      <c r="A81" s="40" t="s">
        <v>369</v>
      </c>
      <c r="B81" s="40" t="s">
        <v>237</v>
      </c>
      <c r="C81" s="41" t="s">
        <v>177</v>
      </c>
    </row>
    <row r="82" ht="15.75" customHeight="1">
      <c r="A82" s="40" t="s">
        <v>371</v>
      </c>
      <c r="B82" s="40" t="s">
        <v>184</v>
      </c>
      <c r="C82" s="41" t="s">
        <v>177</v>
      </c>
    </row>
    <row r="83" ht="15.75" customHeight="1">
      <c r="A83" s="40" t="s">
        <v>371</v>
      </c>
      <c r="B83" s="40" t="s">
        <v>233</v>
      </c>
      <c r="C83" s="41" t="s">
        <v>177</v>
      </c>
    </row>
    <row r="84" ht="15.75" customHeight="1">
      <c r="A84" s="40" t="s">
        <v>371</v>
      </c>
      <c r="B84" s="40" t="s">
        <v>372</v>
      </c>
      <c r="C84" s="41" t="s">
        <v>177</v>
      </c>
    </row>
    <row r="85" ht="15.75" customHeight="1">
      <c r="A85" s="40" t="s">
        <v>371</v>
      </c>
      <c r="B85" s="40" t="s">
        <v>373</v>
      </c>
      <c r="C85" s="41" t="s">
        <v>177</v>
      </c>
    </row>
    <row r="86" ht="15.75" customHeight="1">
      <c r="A86" s="40" t="s">
        <v>371</v>
      </c>
      <c r="B86" s="40" t="s">
        <v>374</v>
      </c>
      <c r="C86" s="41" t="s">
        <v>177</v>
      </c>
    </row>
    <row r="87" ht="15.75" customHeight="1">
      <c r="A87" s="40" t="s">
        <v>371</v>
      </c>
      <c r="B87" s="40" t="s">
        <v>199</v>
      </c>
      <c r="C87" s="41" t="s">
        <v>177</v>
      </c>
    </row>
    <row r="88" ht="15.75" customHeight="1">
      <c r="A88" s="40" t="s">
        <v>371</v>
      </c>
      <c r="B88" s="40" t="s">
        <v>183</v>
      </c>
      <c r="C88" s="41" t="s">
        <v>177</v>
      </c>
    </row>
    <row r="89" ht="15.75" customHeight="1">
      <c r="A89" s="40" t="s">
        <v>375</v>
      </c>
      <c r="B89" s="40" t="s">
        <v>376</v>
      </c>
      <c r="C89" s="41" t="s">
        <v>177</v>
      </c>
    </row>
    <row r="90" ht="15.75" customHeight="1">
      <c r="A90" s="40" t="s">
        <v>377</v>
      </c>
      <c r="B90" s="40" t="s">
        <v>378</v>
      </c>
      <c r="C90" s="41" t="s">
        <v>24</v>
      </c>
    </row>
    <row r="91" ht="15.75" customHeight="1">
      <c r="A91" s="40" t="s">
        <v>377</v>
      </c>
      <c r="B91" s="40" t="s">
        <v>98</v>
      </c>
      <c r="C91" s="41" t="s">
        <v>24</v>
      </c>
    </row>
    <row r="92" ht="15.75" customHeight="1">
      <c r="A92" s="40" t="s">
        <v>377</v>
      </c>
      <c r="B92" s="40" t="s">
        <v>66</v>
      </c>
      <c r="C92" s="41" t="s">
        <v>24</v>
      </c>
    </row>
    <row r="93" ht="15.75" customHeight="1">
      <c r="A93" s="40" t="s">
        <v>377</v>
      </c>
      <c r="B93" s="40" t="s">
        <v>136</v>
      </c>
      <c r="C93" s="41" t="s">
        <v>24</v>
      </c>
    </row>
    <row r="94" ht="15.75" customHeight="1">
      <c r="A94" s="40" t="s">
        <v>377</v>
      </c>
      <c r="B94" s="40" t="s">
        <v>67</v>
      </c>
      <c r="C94" s="41" t="s">
        <v>24</v>
      </c>
    </row>
    <row r="95" ht="15.75" customHeight="1">
      <c r="A95" s="40" t="s">
        <v>377</v>
      </c>
      <c r="B95" s="40" t="s">
        <v>74</v>
      </c>
      <c r="C95" s="41" t="s">
        <v>24</v>
      </c>
    </row>
    <row r="96" ht="15.75" customHeight="1">
      <c r="A96" s="40" t="s">
        <v>377</v>
      </c>
      <c r="B96" s="40" t="s">
        <v>29</v>
      </c>
      <c r="C96" s="41" t="s">
        <v>24</v>
      </c>
    </row>
    <row r="97" ht="15.75" customHeight="1">
      <c r="A97" s="40" t="s">
        <v>377</v>
      </c>
      <c r="B97" s="40" t="s">
        <v>117</v>
      </c>
      <c r="C97" s="41" t="s">
        <v>24</v>
      </c>
    </row>
    <row r="98" ht="15.75" customHeight="1">
      <c r="A98" s="40" t="s">
        <v>377</v>
      </c>
      <c r="B98" s="40" t="s">
        <v>210</v>
      </c>
      <c r="C98" s="41" t="s">
        <v>24</v>
      </c>
    </row>
    <row r="99" ht="15.75" customHeight="1">
      <c r="A99" s="40" t="s">
        <v>313</v>
      </c>
      <c r="B99" s="40" t="s">
        <v>379</v>
      </c>
      <c r="C99" s="41" t="s">
        <v>24</v>
      </c>
    </row>
    <row r="100" ht="15.75" customHeight="1">
      <c r="A100" s="40" t="s">
        <v>313</v>
      </c>
      <c r="B100" s="40" t="s">
        <v>380</v>
      </c>
      <c r="C100" s="41" t="s">
        <v>24</v>
      </c>
    </row>
    <row r="101" ht="15.75" customHeight="1">
      <c r="A101" s="40" t="s">
        <v>313</v>
      </c>
      <c r="B101" s="40" t="s">
        <v>381</v>
      </c>
      <c r="C101" s="41" t="s">
        <v>24</v>
      </c>
    </row>
    <row r="102" ht="15.75" customHeight="1">
      <c r="A102" s="40" t="s">
        <v>313</v>
      </c>
      <c r="B102" s="40" t="s">
        <v>30</v>
      </c>
      <c r="C102" s="41" t="s">
        <v>24</v>
      </c>
    </row>
    <row r="103" ht="15.75" customHeight="1">
      <c r="A103" s="40" t="s">
        <v>313</v>
      </c>
      <c r="B103" s="40" t="s">
        <v>382</v>
      </c>
      <c r="C103" s="41" t="s">
        <v>24</v>
      </c>
    </row>
    <row r="104" ht="15.75" customHeight="1">
      <c r="A104" s="40" t="s">
        <v>313</v>
      </c>
      <c r="B104" s="40" t="s">
        <v>383</v>
      </c>
      <c r="C104" s="41" t="s">
        <v>24</v>
      </c>
    </row>
    <row r="105" ht="15.75" customHeight="1">
      <c r="A105" s="40" t="s">
        <v>313</v>
      </c>
      <c r="B105" s="40" t="s">
        <v>384</v>
      </c>
      <c r="C105" s="41" t="s">
        <v>24</v>
      </c>
    </row>
    <row r="106" ht="15.75" customHeight="1">
      <c r="A106" s="40" t="s">
        <v>313</v>
      </c>
      <c r="B106" s="40" t="s">
        <v>47</v>
      </c>
      <c r="C106" s="41" t="s">
        <v>24</v>
      </c>
    </row>
    <row r="107" ht="15.75" customHeight="1">
      <c r="A107" s="40" t="s">
        <v>313</v>
      </c>
      <c r="B107" s="42" t="s">
        <v>27</v>
      </c>
      <c r="C107" s="41" t="s">
        <v>24</v>
      </c>
    </row>
    <row r="108" ht="15.75" customHeight="1">
      <c r="A108" s="40" t="s">
        <v>313</v>
      </c>
      <c r="B108" s="40" t="s">
        <v>385</v>
      </c>
      <c r="C108" s="41" t="s">
        <v>24</v>
      </c>
    </row>
    <row r="109" ht="15.75" customHeight="1">
      <c r="A109" s="40" t="s">
        <v>313</v>
      </c>
      <c r="B109" s="40" t="s">
        <v>386</v>
      </c>
      <c r="C109" s="41" t="s">
        <v>24</v>
      </c>
    </row>
    <row r="110" ht="15.75" customHeight="1">
      <c r="A110" s="40" t="s">
        <v>313</v>
      </c>
      <c r="B110" s="40" t="s">
        <v>387</v>
      </c>
      <c r="C110" s="41" t="s">
        <v>24</v>
      </c>
    </row>
    <row r="111" ht="15.75" customHeight="1">
      <c r="A111" s="40" t="s">
        <v>313</v>
      </c>
      <c r="B111" s="40" t="s">
        <v>211</v>
      </c>
      <c r="C111" s="41" t="s">
        <v>24</v>
      </c>
    </row>
    <row r="112" ht="15.75" customHeight="1">
      <c r="A112" s="40" t="s">
        <v>388</v>
      </c>
      <c r="B112" s="40" t="s">
        <v>389</v>
      </c>
      <c r="C112" s="41" t="s">
        <v>24</v>
      </c>
    </row>
    <row r="113" ht="15.75" customHeight="1">
      <c r="A113" s="40" t="s">
        <v>390</v>
      </c>
      <c r="B113" s="40" t="s">
        <v>391</v>
      </c>
      <c r="C113" s="41" t="s">
        <v>24</v>
      </c>
    </row>
    <row r="114" ht="15.75" customHeight="1">
      <c r="A114" s="40" t="s">
        <v>390</v>
      </c>
      <c r="B114" s="40" t="s">
        <v>392</v>
      </c>
      <c r="C114" s="41" t="s">
        <v>24</v>
      </c>
    </row>
    <row r="115" ht="15.75" customHeight="1">
      <c r="A115" s="40" t="s">
        <v>393</v>
      </c>
      <c r="B115" s="40" t="s">
        <v>394</v>
      </c>
      <c r="C115" s="41" t="s">
        <v>24</v>
      </c>
    </row>
    <row r="116" ht="15.75" customHeight="1">
      <c r="A116" s="40" t="s">
        <v>395</v>
      </c>
      <c r="B116" s="40" t="s">
        <v>396</v>
      </c>
      <c r="C116" s="41" t="s">
        <v>24</v>
      </c>
    </row>
    <row r="117" ht="15.75" customHeight="1">
      <c r="A117" s="40" t="s">
        <v>395</v>
      </c>
      <c r="B117" s="40" t="s">
        <v>397</v>
      </c>
      <c r="C117" s="41" t="s">
        <v>24</v>
      </c>
    </row>
    <row r="118" ht="15.75" customHeight="1">
      <c r="A118" s="40" t="s">
        <v>148</v>
      </c>
      <c r="B118" s="40" t="s">
        <v>398</v>
      </c>
      <c r="C118" s="41" t="s">
        <v>24</v>
      </c>
    </row>
    <row r="119" ht="15.75" customHeight="1">
      <c r="A119" s="40" t="s">
        <v>148</v>
      </c>
      <c r="B119" s="40" t="s">
        <v>71</v>
      </c>
      <c r="C119" s="41" t="s">
        <v>24</v>
      </c>
    </row>
    <row r="120" ht="15.75" customHeight="1">
      <c r="A120" s="40" t="s">
        <v>148</v>
      </c>
      <c r="B120" s="40" t="s">
        <v>46</v>
      </c>
      <c r="C120" s="41" t="s">
        <v>24</v>
      </c>
    </row>
    <row r="121" ht="15.75" customHeight="1">
      <c r="A121" s="40" t="s">
        <v>399</v>
      </c>
      <c r="B121" s="40" t="s">
        <v>159</v>
      </c>
      <c r="C121" s="41" t="s">
        <v>24</v>
      </c>
    </row>
    <row r="122" ht="15.75" customHeight="1">
      <c r="A122" s="40" t="s">
        <v>400</v>
      </c>
      <c r="B122" s="40" t="s">
        <v>401</v>
      </c>
      <c r="C122" s="41" t="s">
        <v>24</v>
      </c>
    </row>
    <row r="123" ht="15.75" customHeight="1">
      <c r="A123" s="40" t="s">
        <v>402</v>
      </c>
      <c r="B123" s="40" t="s">
        <v>128</v>
      </c>
      <c r="C123" s="41" t="s">
        <v>24</v>
      </c>
    </row>
    <row r="124" ht="15.75" customHeight="1">
      <c r="A124" s="40" t="s">
        <v>403</v>
      </c>
      <c r="B124" s="40" t="s">
        <v>404</v>
      </c>
      <c r="C124" s="41" t="s">
        <v>24</v>
      </c>
    </row>
    <row r="125" ht="15.75" customHeight="1">
      <c r="A125" s="40" t="s">
        <v>403</v>
      </c>
      <c r="B125" s="40" t="s">
        <v>405</v>
      </c>
      <c r="C125" s="41" t="s">
        <v>24</v>
      </c>
    </row>
    <row r="126" ht="15.75" customHeight="1">
      <c r="A126" s="40" t="s">
        <v>343</v>
      </c>
      <c r="B126" s="40" t="s">
        <v>32</v>
      </c>
      <c r="C126" s="41" t="s">
        <v>24</v>
      </c>
    </row>
    <row r="127" ht="15.75" customHeight="1">
      <c r="A127" s="40" t="s">
        <v>343</v>
      </c>
      <c r="B127" s="40" t="s">
        <v>406</v>
      </c>
      <c r="C127" s="41" t="s">
        <v>24</v>
      </c>
    </row>
    <row r="128" ht="15.75" customHeight="1">
      <c r="A128" s="40" t="s">
        <v>343</v>
      </c>
      <c r="B128" s="40" t="s">
        <v>214</v>
      </c>
      <c r="C128" s="41" t="s">
        <v>24</v>
      </c>
    </row>
    <row r="129" ht="15.75" customHeight="1">
      <c r="A129" s="40" t="s">
        <v>343</v>
      </c>
      <c r="B129" s="40" t="s">
        <v>107</v>
      </c>
      <c r="C129" s="41" t="s">
        <v>24</v>
      </c>
    </row>
    <row r="130" ht="15.75" customHeight="1">
      <c r="A130" s="40" t="s">
        <v>343</v>
      </c>
      <c r="B130" s="40" t="s">
        <v>134</v>
      </c>
      <c r="C130" s="41" t="s">
        <v>24</v>
      </c>
    </row>
    <row r="131" ht="15.75" customHeight="1">
      <c r="A131" s="40" t="s">
        <v>343</v>
      </c>
      <c r="B131" s="40" t="s">
        <v>69</v>
      </c>
      <c r="C131" s="41" t="s">
        <v>24</v>
      </c>
    </row>
    <row r="132" ht="15.75" customHeight="1">
      <c r="A132" s="40" t="s">
        <v>343</v>
      </c>
      <c r="B132" s="40" t="s">
        <v>119</v>
      </c>
      <c r="C132" s="41" t="s">
        <v>24</v>
      </c>
    </row>
    <row r="133" ht="15.75" customHeight="1">
      <c r="A133" s="40" t="s">
        <v>343</v>
      </c>
      <c r="B133" s="40" t="s">
        <v>44</v>
      </c>
      <c r="C133" s="41" t="s">
        <v>24</v>
      </c>
    </row>
    <row r="134" ht="15.75" customHeight="1">
      <c r="A134" s="40" t="s">
        <v>343</v>
      </c>
      <c r="B134" s="40" t="s">
        <v>111</v>
      </c>
      <c r="C134" s="41" t="s">
        <v>24</v>
      </c>
    </row>
    <row r="135" ht="15.75" customHeight="1">
      <c r="A135" s="40" t="s">
        <v>343</v>
      </c>
      <c r="B135" s="40" t="s">
        <v>202</v>
      </c>
      <c r="C135" s="41" t="s">
        <v>24</v>
      </c>
    </row>
    <row r="136" ht="15.75" customHeight="1">
      <c r="A136" s="40" t="s">
        <v>310</v>
      </c>
      <c r="B136" s="40" t="s">
        <v>206</v>
      </c>
      <c r="C136" s="41" t="s">
        <v>24</v>
      </c>
    </row>
    <row r="137" ht="15.75" customHeight="1">
      <c r="A137" s="40" t="s">
        <v>310</v>
      </c>
      <c r="B137" s="40" t="s">
        <v>407</v>
      </c>
      <c r="C137" s="41" t="s">
        <v>24</v>
      </c>
    </row>
    <row r="138" ht="15.75" customHeight="1">
      <c r="A138" s="40" t="s">
        <v>310</v>
      </c>
      <c r="B138" s="40" t="s">
        <v>408</v>
      </c>
      <c r="C138" s="41" t="s">
        <v>24</v>
      </c>
    </row>
    <row r="139" ht="15.75" customHeight="1">
      <c r="A139" s="40" t="s">
        <v>310</v>
      </c>
      <c r="B139" s="40" t="s">
        <v>409</v>
      </c>
      <c r="C139" s="41" t="s">
        <v>24</v>
      </c>
    </row>
    <row r="140" ht="15.75" customHeight="1">
      <c r="A140" s="40" t="s">
        <v>310</v>
      </c>
      <c r="B140" s="40" t="s">
        <v>410</v>
      </c>
      <c r="C140" s="41" t="s">
        <v>24</v>
      </c>
    </row>
    <row r="141" ht="15.75" customHeight="1">
      <c r="A141" s="40" t="s">
        <v>310</v>
      </c>
      <c r="B141" s="40" t="s">
        <v>411</v>
      </c>
      <c r="C141" s="41" t="s">
        <v>24</v>
      </c>
    </row>
    <row r="142" ht="15.75" customHeight="1">
      <c r="A142" s="40" t="s">
        <v>310</v>
      </c>
      <c r="B142" s="42" t="s">
        <v>213</v>
      </c>
      <c r="C142" s="41" t="s">
        <v>24</v>
      </c>
    </row>
    <row r="143" ht="15.75" customHeight="1">
      <c r="A143" s="40" t="s">
        <v>310</v>
      </c>
      <c r="B143" s="42" t="s">
        <v>212</v>
      </c>
      <c r="C143" s="41" t="s">
        <v>24</v>
      </c>
    </row>
    <row r="144" ht="15.75" customHeight="1">
      <c r="A144" s="40" t="s">
        <v>310</v>
      </c>
      <c r="B144" s="40" t="s">
        <v>201</v>
      </c>
      <c r="C144" s="41" t="s">
        <v>24</v>
      </c>
    </row>
    <row r="145" ht="15.75" customHeight="1">
      <c r="A145" s="40" t="s">
        <v>310</v>
      </c>
      <c r="B145" s="40" t="s">
        <v>191</v>
      </c>
      <c r="C145" s="41" t="s">
        <v>24</v>
      </c>
    </row>
    <row r="146" ht="15.75" customHeight="1">
      <c r="A146" s="40" t="s">
        <v>310</v>
      </c>
      <c r="B146" s="40" t="s">
        <v>412</v>
      </c>
      <c r="C146" s="41" t="s">
        <v>24</v>
      </c>
    </row>
    <row r="147" ht="15.75" customHeight="1">
      <c r="A147" s="40" t="s">
        <v>310</v>
      </c>
      <c r="B147" s="40" t="s">
        <v>413</v>
      </c>
      <c r="C147" s="41" t="s">
        <v>24</v>
      </c>
    </row>
    <row r="148" ht="15.75" customHeight="1">
      <c r="A148" s="40" t="s">
        <v>358</v>
      </c>
      <c r="B148" s="40" t="s">
        <v>414</v>
      </c>
      <c r="C148" s="41" t="s">
        <v>24</v>
      </c>
    </row>
    <row r="149" ht="15.75" customHeight="1">
      <c r="A149" s="40" t="s">
        <v>358</v>
      </c>
      <c r="B149" s="40" t="s">
        <v>87</v>
      </c>
      <c r="C149" s="41" t="s">
        <v>24</v>
      </c>
    </row>
    <row r="150" ht="15.75" customHeight="1">
      <c r="A150" s="40" t="s">
        <v>358</v>
      </c>
      <c r="B150" s="40" t="s">
        <v>89</v>
      </c>
      <c r="C150" s="41" t="s">
        <v>24</v>
      </c>
    </row>
    <row r="151" ht="15.75" customHeight="1">
      <c r="A151" s="40" t="s">
        <v>358</v>
      </c>
      <c r="B151" s="40" t="s">
        <v>90</v>
      </c>
      <c r="C151" s="41" t="s">
        <v>24</v>
      </c>
    </row>
    <row r="152" ht="15.75" customHeight="1">
      <c r="A152" s="40" t="s">
        <v>358</v>
      </c>
      <c r="B152" s="40" t="s">
        <v>415</v>
      </c>
      <c r="C152" s="41" t="s">
        <v>24</v>
      </c>
    </row>
    <row r="153" ht="15.75" customHeight="1">
      <c r="A153" s="40" t="s">
        <v>360</v>
      </c>
      <c r="B153" s="40" t="s">
        <v>416</v>
      </c>
      <c r="C153" s="41" t="s">
        <v>24</v>
      </c>
    </row>
    <row r="154" ht="15.75" customHeight="1">
      <c r="A154" s="40" t="s">
        <v>417</v>
      </c>
      <c r="B154" s="40" t="s">
        <v>418</v>
      </c>
      <c r="C154" s="41" t="s">
        <v>24</v>
      </c>
    </row>
    <row r="155" ht="15.75" customHeight="1">
      <c r="A155" s="40" t="s">
        <v>419</v>
      </c>
      <c r="B155" s="40" t="s">
        <v>420</v>
      </c>
      <c r="C155" s="41" t="s">
        <v>24</v>
      </c>
    </row>
    <row r="156" ht="15.75" customHeight="1">
      <c r="A156" s="40" t="s">
        <v>421</v>
      </c>
      <c r="B156" s="40" t="s">
        <v>422</v>
      </c>
      <c r="C156" s="41" t="s">
        <v>24</v>
      </c>
    </row>
    <row r="157" ht="15.75" customHeight="1">
      <c r="A157" s="40" t="s">
        <v>423</v>
      </c>
      <c r="B157" s="40" t="s">
        <v>424</v>
      </c>
      <c r="C157" s="41" t="s">
        <v>24</v>
      </c>
    </row>
    <row r="158" ht="15.75" customHeight="1">
      <c r="A158" s="40" t="s">
        <v>365</v>
      </c>
      <c r="B158" s="40" t="s">
        <v>152</v>
      </c>
      <c r="C158" s="41" t="s">
        <v>24</v>
      </c>
    </row>
    <row r="159" ht="15.75" customHeight="1">
      <c r="A159" s="40" t="s">
        <v>365</v>
      </c>
      <c r="B159" s="40" t="s">
        <v>155</v>
      </c>
      <c r="C159" s="41" t="s">
        <v>24</v>
      </c>
    </row>
    <row r="160" ht="15.75" customHeight="1">
      <c r="A160" s="40" t="s">
        <v>425</v>
      </c>
      <c r="B160" s="40" t="s">
        <v>426</v>
      </c>
      <c r="C160" s="41" t="s">
        <v>24</v>
      </c>
    </row>
    <row r="161" ht="15.75" customHeight="1">
      <c r="A161" s="40" t="s">
        <v>427</v>
      </c>
      <c r="B161" s="40" t="s">
        <v>160</v>
      </c>
      <c r="C161" s="41" t="s">
        <v>24</v>
      </c>
    </row>
    <row r="162" ht="15.75" customHeight="1">
      <c r="A162" s="40" t="s">
        <v>428</v>
      </c>
      <c r="B162" s="40" t="s">
        <v>162</v>
      </c>
      <c r="C162" s="41" t="s">
        <v>24</v>
      </c>
    </row>
    <row r="163" ht="15.75" customHeight="1">
      <c r="A163" s="40" t="s">
        <v>429</v>
      </c>
      <c r="B163" s="40" t="s">
        <v>161</v>
      </c>
      <c r="C163" s="41" t="s">
        <v>24</v>
      </c>
    </row>
    <row r="164" ht="15.75" customHeight="1">
      <c r="A164" s="40" t="s">
        <v>430</v>
      </c>
      <c r="B164" s="40" t="s">
        <v>158</v>
      </c>
      <c r="C164" s="41" t="s">
        <v>24</v>
      </c>
    </row>
    <row r="165" ht="15.75" customHeight="1">
      <c r="A165" s="40" t="s">
        <v>431</v>
      </c>
      <c r="B165" s="40" t="s">
        <v>432</v>
      </c>
      <c r="C165" s="41" t="s">
        <v>24</v>
      </c>
    </row>
    <row r="166" ht="15.75" customHeight="1">
      <c r="A166" s="40" t="s">
        <v>431</v>
      </c>
      <c r="B166" s="40" t="s">
        <v>433</v>
      </c>
      <c r="C166" s="41" t="s">
        <v>24</v>
      </c>
    </row>
    <row r="167" ht="15.75" customHeight="1">
      <c r="A167" s="40" t="s">
        <v>431</v>
      </c>
      <c r="B167" s="40" t="s">
        <v>55</v>
      </c>
      <c r="C167" s="41" t="s">
        <v>24</v>
      </c>
    </row>
    <row r="168" ht="15.75" customHeight="1">
      <c r="A168" s="40" t="s">
        <v>431</v>
      </c>
      <c r="B168" s="40" t="s">
        <v>434</v>
      </c>
      <c r="C168" s="41" t="s">
        <v>24</v>
      </c>
    </row>
    <row r="169" ht="15.75" customHeight="1">
      <c r="A169" s="40" t="s">
        <v>431</v>
      </c>
      <c r="B169" s="40" t="s">
        <v>435</v>
      </c>
      <c r="C169" s="41" t="s">
        <v>24</v>
      </c>
    </row>
    <row r="170" ht="15.75" customHeight="1">
      <c r="A170" s="40" t="s">
        <v>431</v>
      </c>
      <c r="B170" s="40" t="s">
        <v>39</v>
      </c>
      <c r="C170" s="41" t="s">
        <v>24</v>
      </c>
    </row>
    <row r="171" ht="15.75" customHeight="1">
      <c r="A171" s="40" t="s">
        <v>431</v>
      </c>
      <c r="B171" s="40" t="s">
        <v>436</v>
      </c>
      <c r="C171" s="41" t="s">
        <v>24</v>
      </c>
    </row>
    <row r="172" ht="15.75" customHeight="1">
      <c r="A172" s="40" t="s">
        <v>437</v>
      </c>
      <c r="B172" s="40" t="s">
        <v>438</v>
      </c>
      <c r="C172" s="41" t="s">
        <v>24</v>
      </c>
    </row>
    <row r="173" ht="15.75" customHeight="1">
      <c r="A173" s="40" t="s">
        <v>437</v>
      </c>
      <c r="B173" s="40" t="s">
        <v>439</v>
      </c>
      <c r="C173" s="41" t="s">
        <v>24</v>
      </c>
    </row>
    <row r="174" ht="15.75" customHeight="1">
      <c r="A174" s="40" t="s">
        <v>437</v>
      </c>
      <c r="B174" s="40" t="s">
        <v>440</v>
      </c>
      <c r="C174" s="41" t="s">
        <v>24</v>
      </c>
    </row>
    <row r="175" ht="15.75" customHeight="1">
      <c r="A175" s="40" t="s">
        <v>437</v>
      </c>
      <c r="B175" s="40" t="s">
        <v>441</v>
      </c>
      <c r="C175" s="41" t="s">
        <v>24</v>
      </c>
    </row>
    <row r="176" ht="15.75" customHeight="1">
      <c r="A176" s="40" t="s">
        <v>437</v>
      </c>
      <c r="B176" s="40" t="s">
        <v>442</v>
      </c>
      <c r="C176" s="41" t="s">
        <v>24</v>
      </c>
    </row>
    <row r="177" ht="15.75" customHeight="1">
      <c r="A177" s="40" t="s">
        <v>437</v>
      </c>
      <c r="B177" s="40" t="s">
        <v>443</v>
      </c>
      <c r="C177" s="41" t="s">
        <v>24</v>
      </c>
    </row>
    <row r="178" ht="15.75" customHeight="1">
      <c r="A178" s="40" t="s">
        <v>437</v>
      </c>
      <c r="B178" s="40" t="s">
        <v>444</v>
      </c>
      <c r="C178" s="41" t="s">
        <v>24</v>
      </c>
    </row>
    <row r="179" ht="15.75" customHeight="1">
      <c r="A179" s="40" t="s">
        <v>437</v>
      </c>
      <c r="B179" s="40" t="s">
        <v>445</v>
      </c>
      <c r="C179" s="41" t="s">
        <v>24</v>
      </c>
    </row>
    <row r="180" ht="15.75" customHeight="1">
      <c r="A180" s="40" t="s">
        <v>437</v>
      </c>
      <c r="B180" s="40" t="s">
        <v>446</v>
      </c>
      <c r="C180" s="41" t="s">
        <v>24</v>
      </c>
    </row>
    <row r="181" ht="15.75" customHeight="1">
      <c r="A181" s="40" t="s">
        <v>437</v>
      </c>
      <c r="B181" s="40" t="s">
        <v>447</v>
      </c>
      <c r="C181" s="41" t="s">
        <v>24</v>
      </c>
    </row>
    <row r="182" ht="15.75" customHeight="1">
      <c r="A182" s="40" t="s">
        <v>437</v>
      </c>
      <c r="B182" s="40" t="s">
        <v>448</v>
      </c>
      <c r="C182" s="41" t="s">
        <v>24</v>
      </c>
    </row>
    <row r="183" ht="15.75" customHeight="1">
      <c r="A183" s="40" t="s">
        <v>437</v>
      </c>
      <c r="B183" s="40" t="s">
        <v>449</v>
      </c>
      <c r="C183" s="41" t="s">
        <v>24</v>
      </c>
    </row>
    <row r="184" ht="15.75" customHeight="1">
      <c r="A184" s="40" t="s">
        <v>437</v>
      </c>
      <c r="B184" s="40" t="s">
        <v>450</v>
      </c>
      <c r="C184" s="41" t="s">
        <v>24</v>
      </c>
    </row>
    <row r="185" ht="15.75" customHeight="1">
      <c r="A185" s="40" t="s">
        <v>437</v>
      </c>
      <c r="B185" s="40" t="s">
        <v>451</v>
      </c>
      <c r="C185" s="41" t="s">
        <v>24</v>
      </c>
    </row>
    <row r="186" ht="15.75" customHeight="1">
      <c r="A186" s="40" t="s">
        <v>437</v>
      </c>
      <c r="B186" s="40" t="s">
        <v>452</v>
      </c>
      <c r="C186" s="41" t="s">
        <v>24</v>
      </c>
    </row>
    <row r="187" ht="15.75" customHeight="1">
      <c r="A187" s="40" t="s">
        <v>437</v>
      </c>
      <c r="B187" s="40" t="s">
        <v>453</v>
      </c>
      <c r="C187" s="41" t="s">
        <v>24</v>
      </c>
    </row>
    <row r="188" ht="15.75" customHeight="1">
      <c r="A188" s="40" t="s">
        <v>437</v>
      </c>
      <c r="B188" s="40" t="s">
        <v>454</v>
      </c>
      <c r="C188" s="41" t="s">
        <v>24</v>
      </c>
    </row>
    <row r="189" ht="15.75" customHeight="1">
      <c r="A189" s="40" t="s">
        <v>437</v>
      </c>
      <c r="B189" s="40" t="s">
        <v>455</v>
      </c>
      <c r="C189" s="41" t="s">
        <v>24</v>
      </c>
    </row>
    <row r="190" ht="15.75" customHeight="1">
      <c r="A190" s="40" t="s">
        <v>456</v>
      </c>
      <c r="B190" s="40" t="s">
        <v>457</v>
      </c>
      <c r="C190" s="41" t="s">
        <v>24</v>
      </c>
    </row>
    <row r="191" ht="15.75" customHeight="1">
      <c r="A191" s="40" t="s">
        <v>367</v>
      </c>
      <c r="B191" s="40" t="s">
        <v>458</v>
      </c>
      <c r="C191" s="41" t="s">
        <v>24</v>
      </c>
    </row>
    <row r="192" ht="15.75" customHeight="1">
      <c r="A192" s="40" t="s">
        <v>367</v>
      </c>
      <c r="B192" s="40" t="s">
        <v>459</v>
      </c>
      <c r="C192" s="41" t="s">
        <v>24</v>
      </c>
    </row>
    <row r="193" ht="15.75" customHeight="1">
      <c r="A193" s="40" t="s">
        <v>367</v>
      </c>
      <c r="B193" s="40" t="s">
        <v>460</v>
      </c>
      <c r="C193" s="41" t="s">
        <v>24</v>
      </c>
    </row>
    <row r="194" ht="15.75" customHeight="1">
      <c r="A194" s="40" t="s">
        <v>367</v>
      </c>
      <c r="B194" s="40" t="s">
        <v>461</v>
      </c>
      <c r="C194" s="41" t="s">
        <v>24</v>
      </c>
    </row>
    <row r="195" ht="15.75" customHeight="1">
      <c r="A195" s="40" t="s">
        <v>367</v>
      </c>
      <c r="B195" s="40" t="s">
        <v>462</v>
      </c>
      <c r="C195" s="41" t="s">
        <v>24</v>
      </c>
    </row>
    <row r="196" ht="15.75" customHeight="1">
      <c r="A196" s="40" t="s">
        <v>367</v>
      </c>
      <c r="B196" s="40" t="s">
        <v>463</v>
      </c>
      <c r="C196" s="41" t="s">
        <v>24</v>
      </c>
    </row>
    <row r="197" ht="15.75" customHeight="1">
      <c r="A197" s="40" t="s">
        <v>464</v>
      </c>
      <c r="B197" s="40" t="s">
        <v>465</v>
      </c>
      <c r="C197" s="41" t="s">
        <v>24</v>
      </c>
    </row>
    <row r="198" ht="15.75" customHeight="1">
      <c r="A198" s="40" t="s">
        <v>464</v>
      </c>
      <c r="B198" s="40" t="s">
        <v>77</v>
      </c>
      <c r="C198" s="41" t="s">
        <v>24</v>
      </c>
    </row>
    <row r="199" ht="15.75" customHeight="1">
      <c r="A199" s="40" t="s">
        <v>464</v>
      </c>
      <c r="B199" s="40" t="s">
        <v>114</v>
      </c>
      <c r="C199" s="41" t="s">
        <v>24</v>
      </c>
    </row>
    <row r="200" ht="15.75" customHeight="1">
      <c r="A200" s="40" t="s">
        <v>464</v>
      </c>
      <c r="B200" s="40" t="s">
        <v>78</v>
      </c>
      <c r="C200" s="41" t="s">
        <v>24</v>
      </c>
    </row>
    <row r="201" ht="15.75" customHeight="1">
      <c r="A201" s="40" t="s">
        <v>464</v>
      </c>
      <c r="B201" s="40" t="s">
        <v>115</v>
      </c>
      <c r="C201" s="41" t="s">
        <v>24</v>
      </c>
    </row>
    <row r="202" ht="15.75" customHeight="1">
      <c r="A202" s="40" t="s">
        <v>464</v>
      </c>
      <c r="B202" s="40" t="s">
        <v>466</v>
      </c>
      <c r="C202" s="41" t="s">
        <v>24</v>
      </c>
    </row>
    <row r="203" ht="15.75" customHeight="1">
      <c r="A203" s="40" t="s">
        <v>464</v>
      </c>
      <c r="B203" s="40" t="s">
        <v>34</v>
      </c>
      <c r="C203" s="41" t="s">
        <v>24</v>
      </c>
    </row>
    <row r="204" ht="15.75" customHeight="1">
      <c r="A204" s="40" t="s">
        <v>464</v>
      </c>
      <c r="B204" s="40" t="s">
        <v>467</v>
      </c>
      <c r="C204" s="41" t="s">
        <v>24</v>
      </c>
    </row>
    <row r="205" ht="15.75" customHeight="1">
      <c r="A205" s="40" t="s">
        <v>464</v>
      </c>
      <c r="B205" s="40" t="s">
        <v>113</v>
      </c>
      <c r="C205" s="41" t="s">
        <v>24</v>
      </c>
    </row>
    <row r="206" ht="15.75" customHeight="1">
      <c r="A206" s="40" t="s">
        <v>464</v>
      </c>
      <c r="B206" s="40" t="s">
        <v>468</v>
      </c>
      <c r="C206" s="41" t="s">
        <v>24</v>
      </c>
    </row>
    <row r="207" ht="15.75" customHeight="1">
      <c r="A207" s="40" t="s">
        <v>464</v>
      </c>
      <c r="B207" s="40" t="s">
        <v>469</v>
      </c>
      <c r="C207" s="41" t="s">
        <v>24</v>
      </c>
    </row>
    <row r="208" ht="15.75" customHeight="1">
      <c r="A208" s="40" t="s">
        <v>464</v>
      </c>
      <c r="B208" s="40" t="s">
        <v>52</v>
      </c>
      <c r="C208" s="41" t="s">
        <v>24</v>
      </c>
    </row>
    <row r="209" ht="15.75" customHeight="1">
      <c r="A209" s="40" t="s">
        <v>464</v>
      </c>
      <c r="B209" s="40" t="s">
        <v>470</v>
      </c>
      <c r="C209" s="41" t="s">
        <v>24</v>
      </c>
    </row>
    <row r="210" ht="15.75" customHeight="1">
      <c r="A210" s="40" t="s">
        <v>471</v>
      </c>
      <c r="B210" s="40" t="s">
        <v>472</v>
      </c>
      <c r="C210" s="41" t="s">
        <v>24</v>
      </c>
    </row>
    <row r="211" ht="15.75" customHeight="1">
      <c r="A211" s="40" t="s">
        <v>471</v>
      </c>
      <c r="B211" s="40" t="s">
        <v>473</v>
      </c>
      <c r="C211" s="41" t="s">
        <v>24</v>
      </c>
    </row>
    <row r="212" ht="15.75" customHeight="1">
      <c r="A212" s="40" t="s">
        <v>471</v>
      </c>
      <c r="B212" s="40" t="s">
        <v>474</v>
      </c>
      <c r="C212" s="41" t="s">
        <v>24</v>
      </c>
    </row>
    <row r="213" ht="15.75" customHeight="1">
      <c r="A213" s="40" t="s">
        <v>471</v>
      </c>
      <c r="B213" s="40" t="s">
        <v>475</v>
      </c>
      <c r="C213" s="41" t="s">
        <v>24</v>
      </c>
    </row>
    <row r="214" ht="15.75" customHeight="1">
      <c r="A214" s="40" t="s">
        <v>369</v>
      </c>
      <c r="B214" s="40" t="s">
        <v>207</v>
      </c>
      <c r="C214" s="41" t="s">
        <v>24</v>
      </c>
    </row>
    <row r="215" ht="15.75" customHeight="1">
      <c r="A215" s="40" t="s">
        <v>476</v>
      </c>
      <c r="B215" s="40" t="s">
        <v>127</v>
      </c>
      <c r="C215" s="41" t="s">
        <v>24</v>
      </c>
    </row>
    <row r="216" ht="15.75" customHeight="1">
      <c r="A216" s="40" t="s">
        <v>476</v>
      </c>
      <c r="B216" s="40" t="s">
        <v>477</v>
      </c>
      <c r="C216" s="41" t="s">
        <v>24</v>
      </c>
    </row>
    <row r="217" ht="15.75" customHeight="1">
      <c r="A217" s="40" t="s">
        <v>476</v>
      </c>
      <c r="B217" s="40" t="s">
        <v>478</v>
      </c>
      <c r="C217" s="41" t="s">
        <v>24</v>
      </c>
    </row>
    <row r="218" ht="15.75" customHeight="1">
      <c r="A218" s="40" t="s">
        <v>476</v>
      </c>
      <c r="B218" s="40" t="s">
        <v>479</v>
      </c>
      <c r="C218" s="41" t="s">
        <v>24</v>
      </c>
    </row>
    <row r="219" ht="15.75" customHeight="1">
      <c r="A219" s="40" t="s">
        <v>476</v>
      </c>
      <c r="B219" s="40" t="s">
        <v>480</v>
      </c>
      <c r="C219" s="41" t="s">
        <v>24</v>
      </c>
    </row>
    <row r="220" ht="15.75" customHeight="1">
      <c r="A220" s="40" t="s">
        <v>476</v>
      </c>
      <c r="B220" s="40" t="s">
        <v>80</v>
      </c>
      <c r="C220" s="41" t="s">
        <v>24</v>
      </c>
    </row>
    <row r="221" ht="15.75" customHeight="1">
      <c r="A221" s="40" t="s">
        <v>476</v>
      </c>
      <c r="B221" s="40" t="s">
        <v>54</v>
      </c>
      <c r="C221" s="41" t="s">
        <v>24</v>
      </c>
    </row>
    <row r="222" ht="15.75" customHeight="1">
      <c r="A222" s="40" t="s">
        <v>476</v>
      </c>
      <c r="B222" s="40" t="s">
        <v>38</v>
      </c>
      <c r="C222" s="41" t="s">
        <v>24</v>
      </c>
    </row>
    <row r="223" ht="15.75" customHeight="1">
      <c r="A223" s="40" t="s">
        <v>481</v>
      </c>
      <c r="B223" s="40" t="s">
        <v>482</v>
      </c>
      <c r="C223" s="41" t="s">
        <v>24</v>
      </c>
    </row>
    <row r="224" ht="15.75" customHeight="1">
      <c r="A224" s="40" t="s">
        <v>481</v>
      </c>
      <c r="B224" s="40" t="s">
        <v>483</v>
      </c>
      <c r="C224" s="41" t="s">
        <v>24</v>
      </c>
    </row>
    <row r="225" ht="15.75" customHeight="1">
      <c r="A225" s="40" t="s">
        <v>481</v>
      </c>
      <c r="B225" s="40" t="s">
        <v>484</v>
      </c>
      <c r="C225" s="41" t="s">
        <v>24</v>
      </c>
    </row>
    <row r="226" ht="15.75" customHeight="1">
      <c r="A226" s="40" t="s">
        <v>485</v>
      </c>
      <c r="B226" s="40" t="s">
        <v>486</v>
      </c>
      <c r="C226" s="41" t="s">
        <v>24</v>
      </c>
    </row>
    <row r="227" ht="15.75" customHeight="1">
      <c r="A227" s="40" t="s">
        <v>485</v>
      </c>
      <c r="B227" s="40" t="s">
        <v>487</v>
      </c>
      <c r="C227" s="41" t="s">
        <v>24</v>
      </c>
    </row>
    <row r="228" ht="15.75" customHeight="1">
      <c r="A228" s="40" t="s">
        <v>485</v>
      </c>
      <c r="B228" s="40" t="s">
        <v>488</v>
      </c>
      <c r="C228" s="41" t="s">
        <v>24</v>
      </c>
    </row>
    <row r="229" ht="15.75" customHeight="1">
      <c r="A229" s="40" t="s">
        <v>485</v>
      </c>
      <c r="B229" s="40" t="s">
        <v>489</v>
      </c>
      <c r="C229" s="41" t="s">
        <v>24</v>
      </c>
    </row>
    <row r="230" ht="15.75" customHeight="1">
      <c r="A230" s="40" t="s">
        <v>490</v>
      </c>
      <c r="B230" s="40" t="s">
        <v>151</v>
      </c>
      <c r="C230" s="41" t="s">
        <v>24</v>
      </c>
    </row>
    <row r="231" ht="15.75" customHeight="1">
      <c r="A231" s="40" t="s">
        <v>490</v>
      </c>
      <c r="B231" s="40" t="s">
        <v>79</v>
      </c>
      <c r="C231" s="41" t="s">
        <v>24</v>
      </c>
    </row>
    <row r="232" ht="15.75" customHeight="1">
      <c r="A232" s="40" t="s">
        <v>490</v>
      </c>
      <c r="B232" s="40" t="s">
        <v>491</v>
      </c>
      <c r="C232" s="41" t="s">
        <v>24</v>
      </c>
    </row>
    <row r="233" ht="15.75" customHeight="1">
      <c r="A233" s="40" t="s">
        <v>490</v>
      </c>
      <c r="B233" s="40" t="s">
        <v>156</v>
      </c>
      <c r="C233" s="41" t="s">
        <v>24</v>
      </c>
    </row>
    <row r="234" ht="15.75" customHeight="1">
      <c r="A234" s="40" t="s">
        <v>490</v>
      </c>
      <c r="B234" s="40" t="s">
        <v>492</v>
      </c>
      <c r="C234" s="41" t="s">
        <v>24</v>
      </c>
    </row>
    <row r="235" ht="15.75" customHeight="1">
      <c r="A235" s="40" t="s">
        <v>490</v>
      </c>
      <c r="B235" s="40" t="s">
        <v>493</v>
      </c>
      <c r="C235" s="41" t="s">
        <v>24</v>
      </c>
    </row>
    <row r="236" ht="15.75" customHeight="1">
      <c r="A236" s="40" t="s">
        <v>490</v>
      </c>
      <c r="B236" s="40" t="s">
        <v>154</v>
      </c>
      <c r="C236" s="41" t="s">
        <v>24</v>
      </c>
    </row>
    <row r="237" ht="15.75" customHeight="1">
      <c r="A237" s="40" t="s">
        <v>490</v>
      </c>
      <c r="B237" s="40" t="s">
        <v>494</v>
      </c>
      <c r="C237" s="41" t="s">
        <v>24</v>
      </c>
    </row>
    <row r="238" ht="15.75" customHeight="1">
      <c r="A238" s="40" t="s">
        <v>490</v>
      </c>
      <c r="B238" s="40" t="s">
        <v>495</v>
      </c>
      <c r="C238" s="41" t="s">
        <v>24</v>
      </c>
    </row>
    <row r="239" ht="15.75" customHeight="1">
      <c r="A239" s="40" t="s">
        <v>490</v>
      </c>
      <c r="B239" s="40" t="s">
        <v>153</v>
      </c>
      <c r="C239" s="41" t="s">
        <v>24</v>
      </c>
    </row>
    <row r="240" ht="15.75" customHeight="1">
      <c r="A240" s="40" t="s">
        <v>490</v>
      </c>
      <c r="B240" s="40" t="s">
        <v>72</v>
      </c>
      <c r="C240" s="41" t="s">
        <v>24</v>
      </c>
    </row>
    <row r="241" ht="15.75" customHeight="1">
      <c r="A241" s="40" t="s">
        <v>490</v>
      </c>
      <c r="B241" s="40" t="s">
        <v>496</v>
      </c>
      <c r="C241" s="41" t="s">
        <v>24</v>
      </c>
    </row>
    <row r="242" ht="15.75" customHeight="1">
      <c r="A242" s="40" t="s">
        <v>490</v>
      </c>
      <c r="B242" s="40" t="s">
        <v>497</v>
      </c>
      <c r="C242" s="41" t="s">
        <v>24</v>
      </c>
    </row>
    <row r="243" ht="15.75" customHeight="1">
      <c r="A243" s="40" t="s">
        <v>490</v>
      </c>
      <c r="B243" s="40" t="s">
        <v>157</v>
      </c>
      <c r="C243" s="41" t="s">
        <v>24</v>
      </c>
    </row>
    <row r="244" ht="15.75" customHeight="1">
      <c r="A244" s="40" t="s">
        <v>490</v>
      </c>
      <c r="B244" s="40" t="s">
        <v>163</v>
      </c>
      <c r="C244" s="41" t="s">
        <v>24</v>
      </c>
    </row>
    <row r="245" ht="15.75" customHeight="1">
      <c r="A245" s="40" t="s">
        <v>490</v>
      </c>
      <c r="B245" s="40" t="s">
        <v>498</v>
      </c>
      <c r="C245" s="41" t="s">
        <v>24</v>
      </c>
    </row>
    <row r="246" ht="15.75" customHeight="1">
      <c r="A246" s="40" t="s">
        <v>490</v>
      </c>
      <c r="B246" s="40" t="s">
        <v>499</v>
      </c>
      <c r="C246" s="41" t="s">
        <v>24</v>
      </c>
    </row>
    <row r="247" ht="15.75" customHeight="1">
      <c r="A247" s="40" t="s">
        <v>490</v>
      </c>
      <c r="B247" s="40" t="s">
        <v>500</v>
      </c>
      <c r="C247" s="41" t="s">
        <v>24</v>
      </c>
    </row>
    <row r="248" ht="15.75" customHeight="1">
      <c r="A248" s="40" t="s">
        <v>490</v>
      </c>
      <c r="B248" s="40" t="s">
        <v>501</v>
      </c>
      <c r="C248" s="41" t="s">
        <v>24</v>
      </c>
    </row>
    <row r="249" ht="15.75" customHeight="1">
      <c r="A249" s="40" t="s">
        <v>490</v>
      </c>
      <c r="B249" s="40" t="s">
        <v>502</v>
      </c>
      <c r="C249" s="41" t="s">
        <v>24</v>
      </c>
    </row>
    <row r="250" ht="15.75" customHeight="1">
      <c r="A250" s="40" t="s">
        <v>490</v>
      </c>
      <c r="B250" s="40" t="s">
        <v>503</v>
      </c>
      <c r="C250" s="41" t="s">
        <v>24</v>
      </c>
    </row>
    <row r="251" ht="15.75" customHeight="1">
      <c r="A251" s="40" t="s">
        <v>490</v>
      </c>
      <c r="B251" s="40" t="s">
        <v>53</v>
      </c>
      <c r="C251" s="41" t="s">
        <v>24</v>
      </c>
    </row>
    <row r="252" ht="15.75" customHeight="1">
      <c r="A252" s="40" t="s">
        <v>490</v>
      </c>
      <c r="B252" s="40" t="s">
        <v>504</v>
      </c>
      <c r="C252" s="41" t="s">
        <v>24</v>
      </c>
    </row>
    <row r="253" ht="15.75" customHeight="1">
      <c r="A253" s="40" t="s">
        <v>490</v>
      </c>
      <c r="B253" s="40" t="s">
        <v>505</v>
      </c>
      <c r="C253" s="41" t="s">
        <v>24</v>
      </c>
    </row>
    <row r="254" ht="15.75" customHeight="1">
      <c r="A254" s="40" t="s">
        <v>490</v>
      </c>
      <c r="B254" s="40" t="s">
        <v>506</v>
      </c>
      <c r="C254" s="41" t="s">
        <v>24</v>
      </c>
    </row>
    <row r="255" ht="15.75" customHeight="1">
      <c r="A255" s="40" t="s">
        <v>490</v>
      </c>
      <c r="B255" s="40" t="s">
        <v>507</v>
      </c>
      <c r="C255" s="41" t="s">
        <v>24</v>
      </c>
    </row>
    <row r="256" ht="15.75" customHeight="1">
      <c r="A256" s="40" t="s">
        <v>490</v>
      </c>
      <c r="B256" s="40" t="s">
        <v>508</v>
      </c>
      <c r="C256" s="41" t="s">
        <v>24</v>
      </c>
    </row>
    <row r="257" ht="15.75" customHeight="1">
      <c r="A257" s="40" t="s">
        <v>371</v>
      </c>
      <c r="B257" s="40" t="s">
        <v>204</v>
      </c>
      <c r="C257" s="41" t="s">
        <v>24</v>
      </c>
    </row>
    <row r="258" ht="15.75" customHeight="1">
      <c r="A258" s="40" t="s">
        <v>371</v>
      </c>
      <c r="B258" s="40" t="s">
        <v>205</v>
      </c>
      <c r="C258" s="41" t="s">
        <v>24</v>
      </c>
    </row>
    <row r="259" ht="15.75" customHeight="1">
      <c r="A259" s="40" t="s">
        <v>371</v>
      </c>
      <c r="B259" s="40" t="s">
        <v>509</v>
      </c>
      <c r="C259" s="41" t="s">
        <v>24</v>
      </c>
    </row>
    <row r="260" ht="15.75" customHeight="1">
      <c r="A260" s="40" t="s">
        <v>371</v>
      </c>
      <c r="B260" s="40" t="s">
        <v>510</v>
      </c>
      <c r="C260" s="41" t="s">
        <v>24</v>
      </c>
    </row>
    <row r="261" ht="15.75" customHeight="1">
      <c r="A261" s="40" t="s">
        <v>371</v>
      </c>
      <c r="B261" s="40" t="s">
        <v>511</v>
      </c>
      <c r="C261" s="41" t="s">
        <v>24</v>
      </c>
    </row>
    <row r="262" ht="15.75" customHeight="1">
      <c r="A262" s="40" t="s">
        <v>371</v>
      </c>
      <c r="B262" s="40" t="s">
        <v>512</v>
      </c>
      <c r="C262" s="41" t="s">
        <v>24</v>
      </c>
    </row>
    <row r="263" ht="15.75" customHeight="1">
      <c r="A263" s="40" t="s">
        <v>371</v>
      </c>
      <c r="B263" s="40" t="s">
        <v>513</v>
      </c>
      <c r="C263" s="41" t="s">
        <v>24</v>
      </c>
    </row>
    <row r="264" ht="15.75" customHeight="1">
      <c r="A264" s="40" t="s">
        <v>371</v>
      </c>
      <c r="B264" s="40" t="s">
        <v>514</v>
      </c>
      <c r="C264" s="41" t="s">
        <v>24</v>
      </c>
    </row>
    <row r="265" ht="15.75" customHeight="1">
      <c r="A265" s="40" t="s">
        <v>371</v>
      </c>
      <c r="B265" s="40" t="s">
        <v>515</v>
      </c>
      <c r="C265" s="41" t="s">
        <v>24</v>
      </c>
    </row>
    <row r="266" ht="15.75" customHeight="1">
      <c r="A266" s="40" t="s">
        <v>371</v>
      </c>
      <c r="B266" s="40" t="s">
        <v>516</v>
      </c>
      <c r="C266" s="41" t="s">
        <v>24</v>
      </c>
    </row>
    <row r="267" ht="15.75" customHeight="1">
      <c r="A267" s="40" t="s">
        <v>371</v>
      </c>
      <c r="B267" s="40" t="s">
        <v>517</v>
      </c>
      <c r="C267" s="41" t="s">
        <v>24</v>
      </c>
    </row>
    <row r="268" ht="15.75" customHeight="1">
      <c r="A268" s="40" t="s">
        <v>371</v>
      </c>
      <c r="B268" s="40" t="s">
        <v>518</v>
      </c>
      <c r="C268" s="41" t="s">
        <v>24</v>
      </c>
    </row>
    <row r="269" ht="15.75" customHeight="1">
      <c r="A269" s="40" t="s">
        <v>371</v>
      </c>
      <c r="B269" s="40" t="s">
        <v>51</v>
      </c>
      <c r="C269" s="41" t="s">
        <v>24</v>
      </c>
    </row>
    <row r="270" ht="15.75" customHeight="1">
      <c r="A270" s="40" t="s">
        <v>371</v>
      </c>
      <c r="B270" s="40" t="s">
        <v>50</v>
      </c>
      <c r="C270" s="41" t="s">
        <v>24</v>
      </c>
    </row>
    <row r="271" ht="15.75" customHeight="1">
      <c r="A271" s="40" t="s">
        <v>371</v>
      </c>
      <c r="B271" s="40" t="s">
        <v>112</v>
      </c>
      <c r="C271" s="41" t="s">
        <v>24</v>
      </c>
    </row>
    <row r="272" ht="15.75" customHeight="1">
      <c r="A272" s="40" t="s">
        <v>371</v>
      </c>
      <c r="B272" s="40" t="s">
        <v>519</v>
      </c>
      <c r="C272" s="41" t="s">
        <v>24</v>
      </c>
    </row>
    <row r="273" ht="15.75" customHeight="1">
      <c r="A273" s="40" t="s">
        <v>371</v>
      </c>
      <c r="B273" s="40" t="s">
        <v>520</v>
      </c>
      <c r="C273" s="41" t="s">
        <v>24</v>
      </c>
    </row>
    <row r="274" ht="15.75" customHeight="1">
      <c r="A274" s="40" t="s">
        <v>371</v>
      </c>
      <c r="B274" s="40" t="s">
        <v>521</v>
      </c>
      <c r="C274" s="41" t="s">
        <v>24</v>
      </c>
    </row>
    <row r="275" ht="15.75" customHeight="1">
      <c r="A275" s="40" t="s">
        <v>375</v>
      </c>
      <c r="B275" s="40" t="s">
        <v>522</v>
      </c>
      <c r="C275" s="41" t="s">
        <v>24</v>
      </c>
    </row>
    <row r="276" ht="15.75" customHeight="1">
      <c r="A276" s="40" t="s">
        <v>523</v>
      </c>
      <c r="B276" s="40" t="s">
        <v>106</v>
      </c>
      <c r="C276" s="41" t="s">
        <v>24</v>
      </c>
    </row>
    <row r="277" ht="15.75" customHeight="1">
      <c r="A277" s="40" t="s">
        <v>524</v>
      </c>
      <c r="B277" s="40" t="s">
        <v>525</v>
      </c>
      <c r="C277" s="41" t="s">
        <v>24</v>
      </c>
    </row>
    <row r="278" ht="15.75" customHeight="1">
      <c r="A278" s="40" t="s">
        <v>524</v>
      </c>
      <c r="B278" s="40" t="s">
        <v>526</v>
      </c>
      <c r="C278" s="41" t="s">
        <v>24</v>
      </c>
    </row>
    <row r="279" ht="15.75" customHeight="1">
      <c r="A279" s="40" t="s">
        <v>377</v>
      </c>
      <c r="B279" s="40" t="s">
        <v>527</v>
      </c>
      <c r="C279" s="41" t="s">
        <v>15</v>
      </c>
    </row>
    <row r="280" ht="15.75" customHeight="1">
      <c r="A280" s="40" t="s">
        <v>377</v>
      </c>
      <c r="B280" s="40" t="s">
        <v>528</v>
      </c>
      <c r="C280" s="41" t="s">
        <v>15</v>
      </c>
    </row>
    <row r="281" ht="15.75" customHeight="1">
      <c r="A281" s="40" t="s">
        <v>377</v>
      </c>
      <c r="B281" s="40" t="s">
        <v>529</v>
      </c>
      <c r="C281" s="41" t="s">
        <v>15</v>
      </c>
    </row>
    <row r="282" ht="15.75" customHeight="1">
      <c r="A282" s="40" t="s">
        <v>377</v>
      </c>
      <c r="B282" s="40" t="s">
        <v>530</v>
      </c>
      <c r="C282" s="41" t="s">
        <v>15</v>
      </c>
    </row>
    <row r="283" ht="15.75" customHeight="1">
      <c r="A283" s="40" t="s">
        <v>377</v>
      </c>
      <c r="B283" s="40" t="s">
        <v>531</v>
      </c>
      <c r="C283" s="41" t="s">
        <v>15</v>
      </c>
    </row>
    <row r="284" ht="15.75" customHeight="1">
      <c r="A284" s="40" t="s">
        <v>377</v>
      </c>
      <c r="B284" s="40" t="s">
        <v>14</v>
      </c>
      <c r="C284" s="41" t="s">
        <v>15</v>
      </c>
    </row>
    <row r="285" ht="15.75" customHeight="1">
      <c r="A285" s="40" t="s">
        <v>377</v>
      </c>
      <c r="B285" s="40" t="s">
        <v>532</v>
      </c>
      <c r="C285" s="41" t="s">
        <v>15</v>
      </c>
    </row>
    <row r="286" ht="15.75" customHeight="1">
      <c r="A286" s="40" t="s">
        <v>313</v>
      </c>
      <c r="B286" s="40" t="s">
        <v>533</v>
      </c>
      <c r="C286" s="41" t="s">
        <v>15</v>
      </c>
    </row>
    <row r="287" ht="15.75" customHeight="1">
      <c r="A287" s="40" t="s">
        <v>313</v>
      </c>
      <c r="B287" s="40" t="s">
        <v>534</v>
      </c>
      <c r="C287" s="41" t="s">
        <v>15</v>
      </c>
    </row>
    <row r="288" ht="15.75" customHeight="1">
      <c r="A288" s="40" t="s">
        <v>313</v>
      </c>
      <c r="B288" s="40" t="s">
        <v>21</v>
      </c>
      <c r="C288" s="41" t="s">
        <v>15</v>
      </c>
    </row>
    <row r="289" ht="15.75" customHeight="1">
      <c r="A289" s="40" t="s">
        <v>313</v>
      </c>
      <c r="B289" s="40" t="s">
        <v>535</v>
      </c>
      <c r="C289" s="41" t="s">
        <v>15</v>
      </c>
    </row>
    <row r="290" ht="15.75" customHeight="1">
      <c r="A290" s="40" t="s">
        <v>313</v>
      </c>
      <c r="B290" s="40" t="s">
        <v>536</v>
      </c>
      <c r="C290" s="41" t="s">
        <v>15</v>
      </c>
    </row>
    <row r="291" ht="15.75" customHeight="1">
      <c r="A291" s="40" t="s">
        <v>313</v>
      </c>
      <c r="B291" s="40" t="s">
        <v>537</v>
      </c>
      <c r="C291" s="41" t="s">
        <v>15</v>
      </c>
    </row>
    <row r="292" ht="15.75" customHeight="1">
      <c r="A292" s="40" t="s">
        <v>338</v>
      </c>
      <c r="B292" s="40" t="s">
        <v>18</v>
      </c>
      <c r="C292" s="41" t="s">
        <v>15</v>
      </c>
    </row>
    <row r="293" ht="15.75" customHeight="1">
      <c r="A293" s="40" t="s">
        <v>338</v>
      </c>
      <c r="B293" s="40" t="s">
        <v>538</v>
      </c>
      <c r="C293" s="41" t="s">
        <v>15</v>
      </c>
    </row>
    <row r="294" ht="15.75" customHeight="1">
      <c r="A294" s="40" t="s">
        <v>338</v>
      </c>
      <c r="B294" s="40" t="s">
        <v>539</v>
      </c>
      <c r="C294" s="41" t="s">
        <v>15</v>
      </c>
    </row>
    <row r="295" ht="15.75" customHeight="1">
      <c r="A295" s="40" t="s">
        <v>338</v>
      </c>
      <c r="B295" s="40" t="s">
        <v>540</v>
      </c>
      <c r="C295" s="41" t="s">
        <v>15</v>
      </c>
    </row>
    <row r="296" ht="15.75" customHeight="1">
      <c r="A296" s="40" t="s">
        <v>338</v>
      </c>
      <c r="B296" s="40" t="s">
        <v>541</v>
      </c>
      <c r="C296" s="41" t="s">
        <v>15</v>
      </c>
    </row>
    <row r="297" ht="15.75" customHeight="1">
      <c r="A297" s="40" t="s">
        <v>338</v>
      </c>
      <c r="B297" s="40" t="s">
        <v>542</v>
      </c>
      <c r="C297" s="41" t="s">
        <v>15</v>
      </c>
    </row>
    <row r="298" ht="15.75" customHeight="1">
      <c r="A298" s="40" t="s">
        <v>338</v>
      </c>
      <c r="B298" s="40" t="s">
        <v>543</v>
      </c>
      <c r="C298" s="41" t="s">
        <v>15</v>
      </c>
    </row>
    <row r="299" ht="15.75" customHeight="1">
      <c r="A299" s="40" t="s">
        <v>338</v>
      </c>
      <c r="B299" s="40" t="s">
        <v>544</v>
      </c>
      <c r="C299" s="41" t="s">
        <v>15</v>
      </c>
    </row>
    <row r="300" ht="15.75" customHeight="1">
      <c r="A300" s="40" t="s">
        <v>360</v>
      </c>
      <c r="B300" s="40" t="s">
        <v>545</v>
      </c>
      <c r="C300" s="41" t="s">
        <v>15</v>
      </c>
    </row>
    <row r="301" ht="15.75" customHeight="1">
      <c r="A301" s="40" t="s">
        <v>360</v>
      </c>
      <c r="B301" s="40" t="s">
        <v>546</v>
      </c>
      <c r="C301" s="41" t="s">
        <v>15</v>
      </c>
    </row>
    <row r="302" ht="15.75" customHeight="1">
      <c r="A302" s="40" t="s">
        <v>360</v>
      </c>
      <c r="B302" s="40" t="s">
        <v>547</v>
      </c>
      <c r="C302" s="41" t="s">
        <v>15</v>
      </c>
    </row>
    <row r="303" ht="15.75" customHeight="1">
      <c r="A303" s="40" t="s">
        <v>360</v>
      </c>
      <c r="B303" s="40" t="s">
        <v>548</v>
      </c>
      <c r="C303" s="41" t="s">
        <v>15</v>
      </c>
    </row>
    <row r="304" ht="15.75" customHeight="1">
      <c r="A304" s="40" t="s">
        <v>360</v>
      </c>
      <c r="B304" s="40" t="s">
        <v>19</v>
      </c>
      <c r="C304" s="41" t="s">
        <v>15</v>
      </c>
    </row>
    <row r="305" ht="15.75" customHeight="1">
      <c r="A305" s="40" t="s">
        <v>360</v>
      </c>
      <c r="B305" s="40" t="s">
        <v>20</v>
      </c>
      <c r="C305" s="41" t="s">
        <v>15</v>
      </c>
    </row>
    <row r="306" ht="15.75" customHeight="1">
      <c r="A306" s="40" t="s">
        <v>360</v>
      </c>
      <c r="B306" s="40" t="s">
        <v>549</v>
      </c>
      <c r="C306" s="41" t="s">
        <v>15</v>
      </c>
    </row>
    <row r="307" ht="15.75" customHeight="1">
      <c r="A307" s="40" t="s">
        <v>360</v>
      </c>
      <c r="B307" s="40" t="s">
        <v>550</v>
      </c>
      <c r="C307" s="41" t="s">
        <v>15</v>
      </c>
    </row>
    <row r="308" ht="15.75" customHeight="1">
      <c r="A308" s="40" t="s">
        <v>360</v>
      </c>
      <c r="B308" s="40" t="s">
        <v>551</v>
      </c>
      <c r="C308" s="41" t="s">
        <v>15</v>
      </c>
    </row>
    <row r="309" ht="15.75" customHeight="1">
      <c r="A309" s="40" t="s">
        <v>360</v>
      </c>
      <c r="B309" s="40" t="s">
        <v>552</v>
      </c>
      <c r="C309" s="41" t="s">
        <v>15</v>
      </c>
    </row>
    <row r="310" ht="15.75" customHeight="1">
      <c r="A310" s="40" t="s">
        <v>360</v>
      </c>
      <c r="B310" s="40" t="s">
        <v>553</v>
      </c>
      <c r="C310" s="41" t="s">
        <v>15</v>
      </c>
    </row>
    <row r="311" ht="15.75" customHeight="1">
      <c r="A311" s="40" t="s">
        <v>377</v>
      </c>
      <c r="B311" s="40" t="s">
        <v>554</v>
      </c>
      <c r="C311" s="41" t="s">
        <v>555</v>
      </c>
    </row>
    <row r="312" ht="15.75" customHeight="1">
      <c r="A312" s="40" t="s">
        <v>377</v>
      </c>
      <c r="B312" s="40" t="s">
        <v>144</v>
      </c>
      <c r="C312" s="41" t="s">
        <v>555</v>
      </c>
    </row>
    <row r="313" ht="15.75" customHeight="1">
      <c r="A313" s="40" t="s">
        <v>377</v>
      </c>
      <c r="B313" s="40" t="s">
        <v>166</v>
      </c>
      <c r="C313" s="41" t="s">
        <v>555</v>
      </c>
    </row>
    <row r="314" ht="15.75" customHeight="1">
      <c r="A314" s="40" t="s">
        <v>377</v>
      </c>
      <c r="B314" s="40" t="s">
        <v>165</v>
      </c>
      <c r="C314" s="41" t="s">
        <v>555</v>
      </c>
    </row>
    <row r="315" ht="15.75" customHeight="1">
      <c r="A315" s="40" t="s">
        <v>377</v>
      </c>
      <c r="B315" s="40" t="s">
        <v>556</v>
      </c>
      <c r="C315" s="41" t="s">
        <v>555</v>
      </c>
    </row>
    <row r="316" ht="15.75" customHeight="1">
      <c r="A316" s="40" t="s">
        <v>377</v>
      </c>
      <c r="B316" s="40" t="s">
        <v>557</v>
      </c>
      <c r="C316" s="41" t="s">
        <v>555</v>
      </c>
    </row>
    <row r="317" ht="15.75" customHeight="1">
      <c r="A317" s="40" t="s">
        <v>377</v>
      </c>
      <c r="B317" s="40" t="s">
        <v>164</v>
      </c>
      <c r="C317" s="41" t="s">
        <v>555</v>
      </c>
    </row>
    <row r="318" ht="15.75" customHeight="1">
      <c r="A318" s="40" t="s">
        <v>377</v>
      </c>
      <c r="B318" s="40" t="s">
        <v>558</v>
      </c>
      <c r="C318" s="41" t="s">
        <v>555</v>
      </c>
    </row>
    <row r="319" ht="15.75" customHeight="1">
      <c r="A319" s="40" t="s">
        <v>377</v>
      </c>
      <c r="B319" s="40" t="s">
        <v>559</v>
      </c>
      <c r="C319" s="41" t="s">
        <v>555</v>
      </c>
    </row>
    <row r="320" ht="15.75" customHeight="1">
      <c r="A320" s="40" t="s">
        <v>313</v>
      </c>
      <c r="B320" s="40" t="s">
        <v>560</v>
      </c>
      <c r="C320" s="41" t="s">
        <v>555</v>
      </c>
    </row>
    <row r="321" ht="15.75" customHeight="1">
      <c r="A321" s="40" t="s">
        <v>313</v>
      </c>
      <c r="B321" s="40" t="s">
        <v>137</v>
      </c>
      <c r="C321" s="41" t="s">
        <v>555</v>
      </c>
    </row>
    <row r="322" ht="15.75" customHeight="1">
      <c r="A322" s="40" t="s">
        <v>313</v>
      </c>
      <c r="B322" s="40" t="s">
        <v>141</v>
      </c>
      <c r="C322" s="41" t="s">
        <v>555</v>
      </c>
    </row>
    <row r="323" ht="15.75" customHeight="1">
      <c r="A323" s="40" t="s">
        <v>313</v>
      </c>
      <c r="B323" s="40" t="s">
        <v>139</v>
      </c>
      <c r="C323" s="41" t="s">
        <v>555</v>
      </c>
    </row>
    <row r="324" ht="15.75" customHeight="1">
      <c r="A324" s="40" t="s">
        <v>313</v>
      </c>
      <c r="B324" s="40" t="s">
        <v>561</v>
      </c>
      <c r="C324" s="41" t="s">
        <v>555</v>
      </c>
    </row>
    <row r="325" ht="15.75" customHeight="1">
      <c r="A325" s="40" t="s">
        <v>313</v>
      </c>
      <c r="B325" s="40" t="s">
        <v>140</v>
      </c>
      <c r="C325" s="41" t="s">
        <v>555</v>
      </c>
    </row>
    <row r="326" ht="15.75" customHeight="1">
      <c r="A326" s="40" t="s">
        <v>313</v>
      </c>
      <c r="B326" s="40" t="s">
        <v>562</v>
      </c>
      <c r="C326" s="41" t="s">
        <v>555</v>
      </c>
    </row>
    <row r="327" ht="15.75" customHeight="1">
      <c r="A327" s="40" t="s">
        <v>313</v>
      </c>
      <c r="B327" s="40" t="s">
        <v>563</v>
      </c>
      <c r="C327" s="41" t="s">
        <v>555</v>
      </c>
    </row>
    <row r="328" ht="15.75" customHeight="1">
      <c r="A328" s="40" t="s">
        <v>313</v>
      </c>
      <c r="B328" s="40" t="s">
        <v>564</v>
      </c>
      <c r="C328" s="41" t="s">
        <v>555</v>
      </c>
    </row>
    <row r="329" ht="15.75" customHeight="1">
      <c r="A329" s="40" t="s">
        <v>313</v>
      </c>
      <c r="B329" s="40" t="s">
        <v>565</v>
      </c>
      <c r="C329" s="41" t="s">
        <v>555</v>
      </c>
    </row>
    <row r="330" ht="15.75" customHeight="1">
      <c r="A330" s="40" t="s">
        <v>313</v>
      </c>
      <c r="B330" s="40" t="s">
        <v>566</v>
      </c>
      <c r="C330" s="41" t="s">
        <v>555</v>
      </c>
    </row>
    <row r="331" ht="15.75" customHeight="1">
      <c r="A331" s="40" t="s">
        <v>313</v>
      </c>
      <c r="B331" s="40" t="s">
        <v>567</v>
      </c>
      <c r="C331" s="41" t="s">
        <v>555</v>
      </c>
    </row>
    <row r="332" ht="15.75" customHeight="1">
      <c r="A332" s="40" t="s">
        <v>313</v>
      </c>
      <c r="B332" s="40" t="s">
        <v>142</v>
      </c>
      <c r="C332" s="41" t="s">
        <v>555</v>
      </c>
    </row>
    <row r="333" ht="15.75" customHeight="1">
      <c r="A333" s="40" t="s">
        <v>313</v>
      </c>
      <c r="B333" s="40" t="s">
        <v>568</v>
      </c>
      <c r="C333" s="41" t="s">
        <v>555</v>
      </c>
    </row>
    <row r="334" ht="15.75" customHeight="1">
      <c r="A334" s="40" t="s">
        <v>569</v>
      </c>
      <c r="B334" s="40" t="s">
        <v>167</v>
      </c>
      <c r="C334" s="41" t="s">
        <v>555</v>
      </c>
    </row>
    <row r="335" ht="15.75" customHeight="1">
      <c r="A335" s="40" t="s">
        <v>569</v>
      </c>
      <c r="B335" s="40" t="s">
        <v>168</v>
      </c>
      <c r="C335" s="41" t="s">
        <v>555</v>
      </c>
    </row>
    <row r="336" ht="15.75" customHeight="1">
      <c r="A336" s="40" t="s">
        <v>569</v>
      </c>
      <c r="B336" s="40" t="s">
        <v>169</v>
      </c>
      <c r="C336" s="41" t="s">
        <v>555</v>
      </c>
    </row>
    <row r="337" ht="15.75" customHeight="1">
      <c r="A337" s="40" t="s">
        <v>377</v>
      </c>
      <c r="B337" s="40" t="s">
        <v>60</v>
      </c>
      <c r="C337" s="41" t="s">
        <v>58</v>
      </c>
    </row>
    <row r="338" ht="15.75" customHeight="1">
      <c r="A338" s="40" t="s">
        <v>377</v>
      </c>
      <c r="B338" s="40" t="s">
        <v>96</v>
      </c>
      <c r="C338" s="41" t="s">
        <v>58</v>
      </c>
    </row>
    <row r="339" ht="15.75" customHeight="1">
      <c r="A339" s="40" t="s">
        <v>377</v>
      </c>
      <c r="B339" s="40" t="s">
        <v>95</v>
      </c>
      <c r="C339" s="41" t="s">
        <v>58</v>
      </c>
    </row>
    <row r="340" ht="15.75" customHeight="1">
      <c r="A340" s="40" t="s">
        <v>313</v>
      </c>
      <c r="B340" s="40" t="s">
        <v>57</v>
      </c>
      <c r="C340" s="41" t="s">
        <v>58</v>
      </c>
    </row>
    <row r="341" ht="15.75" customHeight="1">
      <c r="A341" s="40" t="s">
        <v>313</v>
      </c>
      <c r="B341" s="40" t="s">
        <v>570</v>
      </c>
      <c r="C341" s="41" t="s">
        <v>58</v>
      </c>
    </row>
    <row r="342" ht="15.75" customHeight="1">
      <c r="A342" s="40" t="s">
        <v>313</v>
      </c>
      <c r="B342" s="40" t="s">
        <v>571</v>
      </c>
      <c r="C342" s="41" t="s">
        <v>58</v>
      </c>
    </row>
    <row r="343" ht="15.75" customHeight="1">
      <c r="A343" s="40" t="s">
        <v>313</v>
      </c>
      <c r="B343" s="40" t="s">
        <v>93</v>
      </c>
      <c r="C343" s="41" t="s">
        <v>58</v>
      </c>
    </row>
    <row r="344" ht="15.75" customHeight="1">
      <c r="A344" s="40" t="s">
        <v>313</v>
      </c>
      <c r="B344" s="40" t="s">
        <v>91</v>
      </c>
      <c r="C344" s="41" t="s">
        <v>58</v>
      </c>
    </row>
    <row r="345" ht="15.75" customHeight="1">
      <c r="A345" s="40" t="s">
        <v>313</v>
      </c>
      <c r="B345" s="40" t="s">
        <v>94</v>
      </c>
      <c r="C345" s="41" t="s">
        <v>58</v>
      </c>
    </row>
    <row r="346" ht="15.75" customHeight="1">
      <c r="A346" s="40" t="s">
        <v>572</v>
      </c>
      <c r="B346" s="40" t="s">
        <v>573</v>
      </c>
      <c r="C346" s="41" t="s">
        <v>58</v>
      </c>
    </row>
    <row r="347" ht="15.75" customHeight="1">
      <c r="A347" s="40" t="s">
        <v>572</v>
      </c>
      <c r="B347" s="40" t="s">
        <v>574</v>
      </c>
      <c r="C347" s="41" t="s">
        <v>58</v>
      </c>
    </row>
    <row r="348" ht="15.75" customHeight="1">
      <c r="A348" s="40" t="s">
        <v>572</v>
      </c>
      <c r="B348" s="40" t="s">
        <v>575</v>
      </c>
      <c r="C348" s="41" t="s">
        <v>58</v>
      </c>
    </row>
    <row r="349" ht="15.75" customHeight="1">
      <c r="A349" s="40" t="s">
        <v>572</v>
      </c>
      <c r="B349" s="40" t="s">
        <v>576</v>
      </c>
      <c r="C349" s="41" t="s">
        <v>58</v>
      </c>
    </row>
    <row r="350" ht="15.75" customHeight="1">
      <c r="A350" s="40" t="s">
        <v>572</v>
      </c>
      <c r="B350" s="40" t="s">
        <v>577</v>
      </c>
      <c r="C350" s="41" t="s">
        <v>58</v>
      </c>
    </row>
    <row r="351" ht="15.75" customHeight="1">
      <c r="A351" s="40" t="s">
        <v>310</v>
      </c>
      <c r="B351" s="40" t="s">
        <v>578</v>
      </c>
      <c r="C351" s="41" t="s">
        <v>58</v>
      </c>
    </row>
    <row r="352" ht="15.75" customHeight="1">
      <c r="A352" s="43" t="s">
        <v>377</v>
      </c>
      <c r="B352" s="43" t="s">
        <v>223</v>
      </c>
      <c r="C352" s="44" t="s">
        <v>177</v>
      </c>
    </row>
    <row r="353" ht="15.75" customHeight="1">
      <c r="A353" s="43" t="s">
        <v>377</v>
      </c>
      <c r="B353" s="43" t="s">
        <v>243</v>
      </c>
      <c r="C353" s="44" t="s">
        <v>177</v>
      </c>
    </row>
    <row r="354" ht="15.75" customHeight="1">
      <c r="A354" s="43" t="s">
        <v>377</v>
      </c>
      <c r="B354" s="43" t="s">
        <v>579</v>
      </c>
      <c r="C354" s="44" t="s">
        <v>177</v>
      </c>
    </row>
    <row r="355" ht="15.75" customHeight="1">
      <c r="A355" s="43" t="s">
        <v>377</v>
      </c>
      <c r="B355" s="43" t="s">
        <v>579</v>
      </c>
      <c r="C355" s="44" t="s">
        <v>177</v>
      </c>
    </row>
    <row r="356" ht="15.75" customHeight="1">
      <c r="A356" s="43" t="s">
        <v>377</v>
      </c>
      <c r="B356" s="43" t="s">
        <v>221</v>
      </c>
      <c r="C356" s="44" t="s">
        <v>177</v>
      </c>
    </row>
    <row r="357" ht="15.75" customHeight="1">
      <c r="A357" s="43" t="s">
        <v>377</v>
      </c>
      <c r="B357" s="45" t="s">
        <v>580</v>
      </c>
      <c r="C357" s="44" t="s">
        <v>177</v>
      </c>
    </row>
    <row r="358" ht="15.75" customHeight="1">
      <c r="A358" s="43" t="s">
        <v>377</v>
      </c>
      <c r="B358" s="45" t="s">
        <v>215</v>
      </c>
      <c r="C358" s="44" t="s">
        <v>177</v>
      </c>
    </row>
    <row r="359" ht="15.75" customHeight="1">
      <c r="A359" s="46" t="s">
        <v>313</v>
      </c>
      <c r="B359" s="46" t="s">
        <v>97</v>
      </c>
      <c r="C359" s="47" t="s">
        <v>24</v>
      </c>
    </row>
    <row r="360" ht="15.75" customHeight="1">
      <c r="A360" s="6" t="s">
        <v>581</v>
      </c>
      <c r="B360" s="6" t="s">
        <v>81</v>
      </c>
      <c r="C360" s="47" t="s">
        <v>24</v>
      </c>
    </row>
    <row r="361" ht="15.75" customHeight="1">
      <c r="A361" s="6" t="s">
        <v>581</v>
      </c>
      <c r="B361" s="6" t="s">
        <v>82</v>
      </c>
      <c r="C361" s="47" t="s">
        <v>24</v>
      </c>
    </row>
    <row r="362" ht="15.75" customHeight="1">
      <c r="A362" s="6" t="s">
        <v>582</v>
      </c>
      <c r="B362" s="6" t="s">
        <v>23</v>
      </c>
      <c r="C362" s="47" t="s">
        <v>24</v>
      </c>
    </row>
    <row r="363" ht="15.75" customHeight="1">
      <c r="A363" s="6" t="s">
        <v>583</v>
      </c>
      <c r="B363" s="6" t="s">
        <v>26</v>
      </c>
      <c r="C363" s="47" t="s">
        <v>24</v>
      </c>
    </row>
    <row r="364" ht="15.75" customHeight="1">
      <c r="A364" s="6" t="s">
        <v>313</v>
      </c>
      <c r="B364" s="6" t="s">
        <v>31</v>
      </c>
      <c r="C364" s="9" t="s">
        <v>24</v>
      </c>
    </row>
    <row r="365" ht="15.75" customHeight="1">
      <c r="A365" s="6" t="s">
        <v>431</v>
      </c>
      <c r="B365" s="6" t="s">
        <v>37</v>
      </c>
      <c r="C365" s="9" t="s">
        <v>24</v>
      </c>
    </row>
    <row r="366" ht="15.75" customHeight="1">
      <c r="A366" s="6" t="s">
        <v>581</v>
      </c>
      <c r="B366" s="6" t="s">
        <v>41</v>
      </c>
      <c r="C366" s="9" t="s">
        <v>24</v>
      </c>
    </row>
    <row r="367" ht="15.75" customHeight="1">
      <c r="A367" s="6" t="s">
        <v>584</v>
      </c>
      <c r="B367" s="6" t="s">
        <v>48</v>
      </c>
      <c r="C367" s="9" t="s">
        <v>24</v>
      </c>
    </row>
    <row r="368" ht="15.75" customHeight="1">
      <c r="A368" s="6" t="s">
        <v>360</v>
      </c>
      <c r="B368" s="6" t="s">
        <v>194</v>
      </c>
      <c r="C368" s="9" t="s">
        <v>177</v>
      </c>
    </row>
    <row r="369" ht="15.75" customHeight="1">
      <c r="A369" s="6" t="s">
        <v>585</v>
      </c>
      <c r="B369" s="6" t="s">
        <v>110</v>
      </c>
      <c r="C369" s="9" t="s">
        <v>24</v>
      </c>
    </row>
    <row r="370" ht="15.75" customHeight="1">
      <c r="A370" s="6" t="s">
        <v>582</v>
      </c>
      <c r="B370" s="6" t="s">
        <v>116</v>
      </c>
      <c r="C370" s="9" t="s">
        <v>24</v>
      </c>
    </row>
    <row r="371" ht="15.75" customHeight="1">
      <c r="A371" s="40" t="s">
        <v>310</v>
      </c>
      <c r="B371" s="6" t="s">
        <v>586</v>
      </c>
      <c r="C371" s="9" t="s">
        <v>24</v>
      </c>
    </row>
    <row r="372" ht="15.75" customHeight="1">
      <c r="A372" s="43" t="s">
        <v>377</v>
      </c>
      <c r="B372" s="6" t="s">
        <v>61</v>
      </c>
      <c r="C372" s="9" t="s">
        <v>24</v>
      </c>
    </row>
    <row r="373" ht="15.75" customHeight="1">
      <c r="A373" s="43" t="s">
        <v>377</v>
      </c>
      <c r="B373" s="6" t="s">
        <v>63</v>
      </c>
      <c r="C373" s="9" t="s">
        <v>24</v>
      </c>
    </row>
    <row r="374" ht="15.75" customHeight="1">
      <c r="A374" s="40" t="s">
        <v>313</v>
      </c>
      <c r="B374" s="6" t="s">
        <v>64</v>
      </c>
      <c r="C374" s="9" t="s">
        <v>24</v>
      </c>
    </row>
    <row r="375" ht="15.75" customHeight="1">
      <c r="A375" s="40" t="s">
        <v>310</v>
      </c>
      <c r="B375" s="6" t="s">
        <v>587</v>
      </c>
      <c r="C375" s="9" t="s">
        <v>24</v>
      </c>
    </row>
    <row r="376" ht="15.75" customHeight="1">
      <c r="A376" s="40" t="s">
        <v>310</v>
      </c>
      <c r="B376" s="6" t="s">
        <v>588</v>
      </c>
      <c r="C376" s="9" t="s">
        <v>24</v>
      </c>
    </row>
    <row r="377" ht="15.75" customHeight="1">
      <c r="A377" s="40" t="s">
        <v>313</v>
      </c>
      <c r="B377" s="6" t="s">
        <v>65</v>
      </c>
      <c r="C377" s="9" t="s">
        <v>24</v>
      </c>
    </row>
    <row r="378" ht="15.75" customHeight="1">
      <c r="A378" s="6" t="s">
        <v>490</v>
      </c>
      <c r="B378" s="6" t="s">
        <v>120</v>
      </c>
      <c r="C378" s="9" t="s">
        <v>24</v>
      </c>
    </row>
    <row r="379" ht="15.75" customHeight="1">
      <c r="A379" s="6" t="s">
        <v>490</v>
      </c>
      <c r="B379" s="6" t="s">
        <v>122</v>
      </c>
      <c r="C379" s="9" t="s">
        <v>24</v>
      </c>
    </row>
    <row r="380" ht="15.75" customHeight="1">
      <c r="A380" s="6" t="s">
        <v>490</v>
      </c>
      <c r="B380" s="6" t="s">
        <v>123</v>
      </c>
      <c r="C380" s="9" t="s">
        <v>24</v>
      </c>
    </row>
    <row r="381" ht="15.75" customHeight="1">
      <c r="A381" s="6" t="s">
        <v>490</v>
      </c>
      <c r="B381" s="6" t="s">
        <v>124</v>
      </c>
      <c r="C381" s="9" t="s">
        <v>24</v>
      </c>
    </row>
    <row r="382" ht="15.75" customHeight="1">
      <c r="A382" s="6" t="s">
        <v>490</v>
      </c>
      <c r="B382" s="6" t="s">
        <v>125</v>
      </c>
      <c r="C382" s="9" t="s">
        <v>24</v>
      </c>
    </row>
    <row r="383" ht="15.75" customHeight="1">
      <c r="A383" s="6" t="s">
        <v>490</v>
      </c>
      <c r="B383" s="6" t="s">
        <v>126</v>
      </c>
      <c r="C383" s="9" t="s">
        <v>24</v>
      </c>
    </row>
    <row r="384" ht="15.75" customHeight="1">
      <c r="A384" s="6" t="s">
        <v>589</v>
      </c>
      <c r="B384" s="6" t="s">
        <v>129</v>
      </c>
      <c r="C384" s="9" t="s">
        <v>24</v>
      </c>
    </row>
    <row r="385" ht="15.75" customHeight="1">
      <c r="A385" s="6" t="s">
        <v>590</v>
      </c>
      <c r="B385" s="6" t="s">
        <v>130</v>
      </c>
      <c r="C385" s="9" t="s">
        <v>24</v>
      </c>
    </row>
    <row r="386" ht="15.75" customHeight="1">
      <c r="A386" s="6" t="s">
        <v>591</v>
      </c>
      <c r="B386" s="6" t="s">
        <v>131</v>
      </c>
      <c r="C386" s="9" t="s">
        <v>24</v>
      </c>
    </row>
    <row r="387" ht="15.75" customHeight="1">
      <c r="A387" s="6" t="s">
        <v>490</v>
      </c>
      <c r="B387" s="6" t="s">
        <v>132</v>
      </c>
      <c r="C387" s="9" t="s">
        <v>24</v>
      </c>
    </row>
    <row r="388" ht="15.75" customHeight="1">
      <c r="A388" s="6" t="s">
        <v>377</v>
      </c>
      <c r="B388" s="6" t="s">
        <v>100</v>
      </c>
      <c r="C388" s="9" t="s">
        <v>24</v>
      </c>
    </row>
    <row r="389" ht="15.75" customHeight="1">
      <c r="A389" s="40" t="s">
        <v>313</v>
      </c>
      <c r="B389" s="6" t="s">
        <v>102</v>
      </c>
      <c r="C389" s="9" t="s">
        <v>24</v>
      </c>
    </row>
    <row r="390" ht="15.75" customHeight="1">
      <c r="A390" s="6" t="s">
        <v>592</v>
      </c>
      <c r="B390" s="6" t="s">
        <v>103</v>
      </c>
      <c r="C390" s="9" t="s">
        <v>24</v>
      </c>
    </row>
    <row r="391" ht="15.75" customHeight="1">
      <c r="A391" s="6" t="s">
        <v>592</v>
      </c>
      <c r="B391" s="6" t="s">
        <v>104</v>
      </c>
      <c r="C391" s="9" t="s">
        <v>24</v>
      </c>
    </row>
    <row r="392" ht="15.75" customHeight="1">
      <c r="A392" s="6" t="s">
        <v>592</v>
      </c>
      <c r="B392" s="6" t="s">
        <v>105</v>
      </c>
      <c r="C392" s="9" t="s">
        <v>24</v>
      </c>
    </row>
    <row r="393" ht="15.75" customHeight="1">
      <c r="A393" s="6" t="s">
        <v>592</v>
      </c>
      <c r="B393" s="6" t="s">
        <v>105</v>
      </c>
      <c r="C393" s="9" t="s">
        <v>24</v>
      </c>
    </row>
    <row r="394" ht="15.75" customHeight="1">
      <c r="A394" s="6" t="s">
        <v>592</v>
      </c>
      <c r="B394" s="6" t="s">
        <v>103</v>
      </c>
      <c r="C394" s="9" t="s">
        <v>24</v>
      </c>
    </row>
    <row r="395" ht="15.75" customHeight="1">
      <c r="A395" s="40" t="s">
        <v>313</v>
      </c>
      <c r="B395" s="6" t="s">
        <v>102</v>
      </c>
      <c r="C395" s="9" t="s">
        <v>24</v>
      </c>
    </row>
    <row r="396" ht="15.75" customHeight="1">
      <c r="A396" s="6" t="s">
        <v>592</v>
      </c>
      <c r="B396" s="6" t="s">
        <v>105</v>
      </c>
      <c r="C396" s="9" t="s">
        <v>24</v>
      </c>
    </row>
    <row r="397" ht="15.75" customHeight="1">
      <c r="A397" s="6" t="s">
        <v>377</v>
      </c>
      <c r="B397" s="6" t="s">
        <v>100</v>
      </c>
      <c r="C397" s="9" t="s">
        <v>24</v>
      </c>
    </row>
    <row r="398" ht="15.75" customHeight="1">
      <c r="A398" s="40" t="s">
        <v>313</v>
      </c>
      <c r="B398" s="6" t="s">
        <v>102</v>
      </c>
      <c r="C398" s="9" t="s">
        <v>24</v>
      </c>
    </row>
    <row r="399" ht="15.75" customHeight="1">
      <c r="A399" s="40" t="s">
        <v>313</v>
      </c>
      <c r="B399" s="6" t="s">
        <v>102</v>
      </c>
      <c r="C399" s="9" t="s">
        <v>24</v>
      </c>
    </row>
    <row r="400" ht="15.75" customHeight="1">
      <c r="A400" s="6" t="s">
        <v>592</v>
      </c>
      <c r="B400" s="6" t="s">
        <v>104</v>
      </c>
      <c r="C400" s="9" t="s">
        <v>24</v>
      </c>
    </row>
    <row r="401" ht="15.75" customHeight="1">
      <c r="A401" s="6" t="s">
        <v>592</v>
      </c>
      <c r="B401" s="6" t="s">
        <v>105</v>
      </c>
      <c r="C401" s="9" t="s">
        <v>24</v>
      </c>
    </row>
    <row r="402" ht="15.75" customHeight="1">
      <c r="A402" s="6" t="s">
        <v>490</v>
      </c>
      <c r="B402" s="6" t="s">
        <v>145</v>
      </c>
      <c r="C402" s="9" t="s">
        <v>24</v>
      </c>
    </row>
    <row r="403" ht="15.75" customHeight="1">
      <c r="A403" s="6" t="s">
        <v>593</v>
      </c>
      <c r="B403" s="6" t="s">
        <v>147</v>
      </c>
      <c r="C403" s="9" t="s">
        <v>24</v>
      </c>
    </row>
    <row r="404" ht="15.75" customHeight="1">
      <c r="A404" s="6" t="s">
        <v>148</v>
      </c>
      <c r="B404" s="6" t="s">
        <v>148</v>
      </c>
      <c r="C404" s="9" t="s">
        <v>24</v>
      </c>
    </row>
    <row r="405" ht="15.75" customHeight="1">
      <c r="A405" s="6" t="s">
        <v>593</v>
      </c>
      <c r="B405" s="6" t="s">
        <v>149</v>
      </c>
      <c r="C405" s="9" t="s">
        <v>24</v>
      </c>
    </row>
    <row r="406" ht="15.75" customHeight="1">
      <c r="A406" s="6" t="s">
        <v>593</v>
      </c>
      <c r="B406" s="6" t="s">
        <v>150</v>
      </c>
      <c r="C406" s="9" t="s">
        <v>24</v>
      </c>
    </row>
    <row r="407" ht="15.75" customHeight="1">
      <c r="A407" s="6" t="s">
        <v>390</v>
      </c>
      <c r="B407" s="6" t="s">
        <v>84</v>
      </c>
      <c r="C407" s="9" t="s">
        <v>24</v>
      </c>
    </row>
    <row r="408" ht="15.75" customHeight="1">
      <c r="A408" s="6" t="s">
        <v>390</v>
      </c>
      <c r="B408" s="6" t="s">
        <v>85</v>
      </c>
      <c r="C408" s="9" t="s">
        <v>24</v>
      </c>
    </row>
    <row r="409" ht="15.75" customHeight="1">
      <c r="A409" s="6" t="s">
        <v>390</v>
      </c>
      <c r="B409" s="6" t="s">
        <v>86</v>
      </c>
      <c r="C409" s="9" t="s">
        <v>24</v>
      </c>
    </row>
    <row r="410" ht="15.75" customHeight="1">
      <c r="A410" s="40" t="s">
        <v>313</v>
      </c>
      <c r="B410" s="6" t="s">
        <v>143</v>
      </c>
      <c r="C410" s="9" t="s">
        <v>555</v>
      </c>
    </row>
    <row r="411" ht="15.75" customHeight="1">
      <c r="A411" s="6" t="s">
        <v>403</v>
      </c>
      <c r="B411" s="2" t="s">
        <v>109</v>
      </c>
      <c r="C411" s="9" t="s">
        <v>24</v>
      </c>
    </row>
    <row r="412" ht="15.75" customHeight="1">
      <c r="A412" s="6" t="s">
        <v>403</v>
      </c>
      <c r="B412" s="2" t="s">
        <v>76</v>
      </c>
      <c r="C412" s="9" t="s">
        <v>24</v>
      </c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B$412"/>
  <dataValidations>
    <dataValidation type="list" allowBlank="1" showErrorMessage="1" sqref="B375:B403 A404:B404 B405:B406 B411:B412">
      <formula1>LOJAS!$B:$B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38"/>
    <col customWidth="1" min="2" max="6" width="12.63"/>
  </cols>
  <sheetData>
    <row r="1" ht="15.75" customHeight="1">
      <c r="A1" s="10" t="s">
        <v>0</v>
      </c>
    </row>
    <row r="2" ht="15.75" customHeight="1">
      <c r="A2" s="7" t="s">
        <v>28</v>
      </c>
    </row>
    <row r="3" ht="15.75" customHeight="1">
      <c r="A3" s="7" t="s">
        <v>83</v>
      </c>
    </row>
    <row r="4" ht="15.75" customHeight="1">
      <c r="A4" s="7" t="s">
        <v>175</v>
      </c>
    </row>
    <row r="5" ht="15.75" customHeight="1">
      <c r="A5" s="7" t="s">
        <v>180</v>
      </c>
    </row>
    <row r="6" ht="15.75" customHeight="1">
      <c r="A6" s="7" t="s">
        <v>594</v>
      </c>
    </row>
    <row r="7" ht="15.75" customHeight="1">
      <c r="A7" s="7" t="s">
        <v>33</v>
      </c>
    </row>
    <row r="8" ht="15.75" customHeight="1">
      <c r="A8" s="7" t="s">
        <v>187</v>
      </c>
    </row>
    <row r="9" ht="15.75" customHeight="1">
      <c r="A9" s="7" t="s">
        <v>595</v>
      </c>
    </row>
    <row r="10" ht="15.75" customHeight="1">
      <c r="A10" s="7" t="s">
        <v>596</v>
      </c>
    </row>
    <row r="11" ht="15.75" customHeight="1">
      <c r="A11" s="7" t="s">
        <v>219</v>
      </c>
    </row>
    <row r="12" ht="15.75" customHeight="1">
      <c r="A12" s="7" t="s">
        <v>56</v>
      </c>
    </row>
    <row r="13" ht="15.75" customHeight="1">
      <c r="A13" s="7" t="s">
        <v>13</v>
      </c>
    </row>
    <row r="14" ht="15.75" customHeight="1">
      <c r="A14" s="7" t="s">
        <v>43</v>
      </c>
    </row>
    <row r="15" ht="15.75" customHeight="1">
      <c r="A15" s="7" t="s">
        <v>597</v>
      </c>
    </row>
    <row r="16" ht="15.75" customHeight="1">
      <c r="A16" s="7" t="s">
        <v>192</v>
      </c>
    </row>
    <row r="17" ht="15.75" customHeight="1">
      <c r="A17" s="7" t="s">
        <v>193</v>
      </c>
    </row>
    <row r="18" ht="15.75" customHeight="1">
      <c r="A18" s="7" t="s">
        <v>35</v>
      </c>
    </row>
    <row r="19" ht="15.75" customHeight="1">
      <c r="A19" s="7" t="s">
        <v>185</v>
      </c>
    </row>
    <row r="20" ht="15.75" customHeight="1">
      <c r="A20" s="7" t="s">
        <v>598</v>
      </c>
    </row>
    <row r="21" ht="15.75" customHeight="1">
      <c r="A21" s="7" t="s">
        <v>36</v>
      </c>
    </row>
    <row r="22" ht="15.75" customHeight="1">
      <c r="A22" s="7" t="s">
        <v>186</v>
      </c>
    </row>
    <row r="23" ht="15.75" customHeight="1">
      <c r="A23" s="7" t="s">
        <v>73</v>
      </c>
    </row>
    <row r="24" ht="15.75" customHeight="1">
      <c r="A24" s="7" t="s">
        <v>42</v>
      </c>
    </row>
    <row r="25" ht="15.75" customHeight="1">
      <c r="A25" s="6" t="s">
        <v>40</v>
      </c>
    </row>
    <row r="26" ht="15.75" customHeight="1">
      <c r="A26" s="6" t="s">
        <v>22</v>
      </c>
    </row>
    <row r="27" ht="15.75" customHeight="1">
      <c r="A27" s="6" t="s">
        <v>209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</worksheet>
</file>